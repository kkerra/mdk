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ra\Desktop\"/>
    </mc:Choice>
  </mc:AlternateContent>
  <xr:revisionPtr revIDLastSave="0" documentId="8_{72F2EED1-58CF-4BFE-88CE-ECA9E2BAC4F3}" xr6:coauthVersionLast="47" xr6:coauthVersionMax="47" xr10:uidLastSave="{00000000-0000-0000-0000-000000000000}"/>
  <bookViews>
    <workbookView xWindow="-108" yWindow="-108" windowWidth="23256" windowHeight="12456" xr2:uid="{C7DAED21-7095-4273-BC28-A4108399672D}"/>
  </bookViews>
  <sheets>
    <sheet name="ССА41" sheetId="6" r:id="rId1"/>
    <sheet name="ССА55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4" i="7" l="1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3" i="7"/>
  <c r="AE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E5" i="6"/>
  <c r="AE4" i="6"/>
  <c r="AE9" i="6"/>
  <c r="AE10" i="6"/>
  <c r="AE11" i="6"/>
  <c r="AE12" i="6"/>
  <c r="AE16" i="6"/>
  <c r="AE18" i="6"/>
  <c r="AE20" i="6"/>
  <c r="AE23" i="6"/>
  <c r="AE25" i="6"/>
  <c r="AE28" i="6"/>
  <c r="AE24" i="6"/>
  <c r="AE7" i="6"/>
  <c r="AE21" i="6"/>
  <c r="AE8" i="6"/>
  <c r="AE3" i="6"/>
  <c r="AE14" i="6"/>
  <c r="AE2" i="6"/>
  <c r="AE15" i="6"/>
  <c r="AE27" i="6"/>
  <c r="AE26" i="6"/>
  <c r="AE19" i="6"/>
  <c r="AE13" i="6"/>
  <c r="AE2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2" i="6"/>
  <c r="AE6" i="6"/>
  <c r="AE17" i="6"/>
  <c r="AE29" i="6"/>
</calcChain>
</file>

<file path=xl/sharedStrings.xml><?xml version="1.0" encoding="utf-8"?>
<sst xmlns="http://schemas.openxmlformats.org/spreadsheetml/2006/main" count="170" uniqueCount="110">
  <si>
    <t>ЛР1</t>
  </si>
  <si>
    <t>Аксеновский</t>
  </si>
  <si>
    <t>Беловол</t>
  </si>
  <si>
    <t>Вялова</t>
  </si>
  <si>
    <t>Древаль</t>
  </si>
  <si>
    <t>Дробот</t>
  </si>
  <si>
    <t>Дунаева</t>
  </si>
  <si>
    <t>Ермаков Д</t>
  </si>
  <si>
    <t>Ермаков Р</t>
  </si>
  <si>
    <t>Ермакова</t>
  </si>
  <si>
    <t>Ерокин</t>
  </si>
  <si>
    <t>Илинский</t>
  </si>
  <si>
    <t>Капленко</t>
  </si>
  <si>
    <t>Куликов</t>
  </si>
  <si>
    <t>Максимов</t>
  </si>
  <si>
    <t>Малай</t>
  </si>
  <si>
    <t>Мащенко</t>
  </si>
  <si>
    <t>Синявин</t>
  </si>
  <si>
    <t>Телов</t>
  </si>
  <si>
    <t>Федоров</t>
  </si>
  <si>
    <t>Холькин</t>
  </si>
  <si>
    <t>Черепанов</t>
  </si>
  <si>
    <t>Шаверин</t>
  </si>
  <si>
    <t>ПР1</t>
  </si>
  <si>
    <t>Булыгин</t>
  </si>
  <si>
    <t>ПР2</t>
  </si>
  <si>
    <t>Акуловский</t>
  </si>
  <si>
    <t>Борлис</t>
  </si>
  <si>
    <t>Бурков</t>
  </si>
  <si>
    <t>Быков</t>
  </si>
  <si>
    <t>Бычков</t>
  </si>
  <si>
    <t>Васильев Д</t>
  </si>
  <si>
    <t>Васильев Я</t>
  </si>
  <si>
    <t>Вовчик</t>
  </si>
  <si>
    <t>Журавлев</t>
  </si>
  <si>
    <t>Зыкина</t>
  </si>
  <si>
    <t>Копалин</t>
  </si>
  <si>
    <t>Крюков</t>
  </si>
  <si>
    <t>Куляшова</t>
  </si>
  <si>
    <t>Кушев</t>
  </si>
  <si>
    <t>Кущенков</t>
  </si>
  <si>
    <t>Лисицинская</t>
  </si>
  <si>
    <t>Лудков</t>
  </si>
  <si>
    <t>Москалев</t>
  </si>
  <si>
    <t>Муравьев</t>
  </si>
  <si>
    <t>Павлович</t>
  </si>
  <si>
    <t>Петрук</t>
  </si>
  <si>
    <t>Садков</t>
  </si>
  <si>
    <t>Старицын</t>
  </si>
  <si>
    <t>Сухих</t>
  </si>
  <si>
    <t>Тимохов</t>
  </si>
  <si>
    <t>Толстиков</t>
  </si>
  <si>
    <t>Шаханов</t>
  </si>
  <si>
    <t>Шведкова</t>
  </si>
  <si>
    <t>ЛР15</t>
  </si>
  <si>
    <t>ЛР2</t>
  </si>
  <si>
    <t>ЛР3</t>
  </si>
  <si>
    <t>ПР6</t>
  </si>
  <si>
    <t>ПР4</t>
  </si>
  <si>
    <t>ЛР4</t>
  </si>
  <si>
    <t>ЛР5</t>
  </si>
  <si>
    <t>ПР7</t>
  </si>
  <si>
    <t>ЛР6</t>
  </si>
  <si>
    <t>среднее</t>
  </si>
  <si>
    <t>ПР8</t>
  </si>
  <si>
    <t>ЛР8</t>
  </si>
  <si>
    <t>ЛР9</t>
  </si>
  <si>
    <t>ЛР10</t>
  </si>
  <si>
    <t>ЛР11</t>
  </si>
  <si>
    <t>ЛР12</t>
  </si>
  <si>
    <t>ЛР13</t>
  </si>
  <si>
    <t>ЛР14</t>
  </si>
  <si>
    <t>ПР9</t>
  </si>
  <si>
    <t>ПР10</t>
  </si>
  <si>
    <t>ПР11</t>
  </si>
  <si>
    <t>ПР12</t>
  </si>
  <si>
    <t>Б/с</t>
  </si>
  <si>
    <t>Б/с ГОСТ</t>
  </si>
  <si>
    <t>Б/с прил</t>
  </si>
  <si>
    <t>Лин</t>
  </si>
  <si>
    <t>Ветвления</t>
  </si>
  <si>
    <t>Исключения</t>
  </si>
  <si>
    <t>Нелинейные</t>
  </si>
  <si>
    <t>Циклы</t>
  </si>
  <si>
    <t>1 Массивы</t>
  </si>
  <si>
    <t>2 Массивы</t>
  </si>
  <si>
    <t>Сорт</t>
  </si>
  <si>
    <t>ПР3</t>
  </si>
  <si>
    <t>ПР5</t>
  </si>
  <si>
    <t>ЛР7</t>
  </si>
  <si>
    <t>Строки</t>
  </si>
  <si>
    <t>Классы</t>
  </si>
  <si>
    <t>Доч Классы</t>
  </si>
  <si>
    <t>Библ классов</t>
  </si>
  <si>
    <t>Библ подпрог</t>
  </si>
  <si>
    <t>ПР13</t>
  </si>
  <si>
    <t>Поиск данных</t>
  </si>
  <si>
    <t>CSV</t>
  </si>
  <si>
    <t>IDLE</t>
  </si>
  <si>
    <t>Прог по алг</t>
  </si>
  <si>
    <t>2св списки</t>
  </si>
  <si>
    <t>очередь</t>
  </si>
  <si>
    <t>стек</t>
  </si>
  <si>
    <t>Текст ф</t>
  </si>
  <si>
    <t>Рекурсия</t>
  </si>
  <si>
    <t>Функции</t>
  </si>
  <si>
    <t>Допуск</t>
  </si>
  <si>
    <t>Автомат</t>
  </si>
  <si>
    <t>Переопр функ</t>
  </si>
  <si>
    <t>изменено:
пр 10 перенесена в лр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</si>
</sst>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9" tint="0.3999755851924192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5" fillId="0" borderId="0" xfId="0" applyNumberFormat="1" applyFont="1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7BC8-31C5-464B-BA24-909C1440133B}">
  <dimension ref="A1:AG33"/>
  <sheetViews>
    <sheetView tabSelected="1" topLeftCell="H1" zoomScale="85" zoomScaleNormal="85" workbookViewId="0">
      <selection activeCell="AE1" sqref="AE1:AG24"/>
    </sheetView>
  </sheetViews>
  <sheetFormatPr defaultRowHeight="14.4" x14ac:dyDescent="0.3"/>
  <cols>
    <col min="1" max="1" width="12.44140625" style="1" bestFit="1" customWidth="1"/>
    <col min="2" max="2" width="6.5546875" bestFit="1" customWidth="1"/>
    <col min="3" max="3" width="8.77734375" bestFit="1" customWidth="1"/>
    <col min="4" max="4" width="8.33203125" bestFit="1" customWidth="1"/>
    <col min="5" max="5" width="6.5546875" bestFit="1" customWidth="1"/>
    <col min="6" max="6" width="9.88671875" bestFit="1" customWidth="1"/>
    <col min="7" max="7" width="11.77734375" bestFit="1" customWidth="1"/>
    <col min="8" max="8" width="11.88671875" bestFit="1" customWidth="1"/>
    <col min="9" max="9" width="6.5546875" bestFit="1" customWidth="1"/>
    <col min="10" max="10" width="10.33203125" bestFit="1" customWidth="1"/>
    <col min="11" max="11" width="6.21875" bestFit="1" customWidth="1"/>
    <col min="12" max="12" width="10.33203125" bestFit="1" customWidth="1"/>
    <col min="13" max="14" width="7" bestFit="1" customWidth="1"/>
    <col min="15" max="15" width="7.44140625" bestFit="1" customWidth="1"/>
    <col min="16" max="16" width="11.21875" bestFit="1" customWidth="1"/>
    <col min="17" max="17" width="10.44140625" customWidth="1"/>
    <col min="18" max="18" width="8.88671875" bestFit="1" customWidth="1"/>
    <col min="19" max="19" width="7.33203125" bestFit="1" customWidth="1"/>
    <col min="20" max="20" width="5.44140625" bestFit="1" customWidth="1"/>
    <col min="21" max="21" width="8.109375" bestFit="1" customWidth="1"/>
    <col min="22" max="22" width="10.44140625" bestFit="1" customWidth="1"/>
    <col min="23" max="23" width="12.6640625" bestFit="1" customWidth="1"/>
    <col min="24" max="24" width="12.109375" bestFit="1" customWidth="1"/>
    <col min="25" max="25" width="12.6640625" bestFit="1" customWidth="1"/>
    <col min="26" max="26" width="13" bestFit="1" customWidth="1"/>
    <col min="27" max="27" width="5.44140625" customWidth="1"/>
    <col min="28" max="28" width="4.6640625" bestFit="1" customWidth="1"/>
    <col min="29" max="29" width="10.77734375" bestFit="1" customWidth="1"/>
    <col min="31" max="31" width="8.21875" bestFit="1" customWidth="1"/>
  </cols>
  <sheetData>
    <row r="1" spans="1:33" s="10" customFormat="1" x14ac:dyDescent="0.3">
      <c r="A1" s="9"/>
      <c r="B1" s="7" t="s">
        <v>0</v>
      </c>
      <c r="C1" s="7" t="s">
        <v>23</v>
      </c>
      <c r="D1" s="7" t="s">
        <v>25</v>
      </c>
      <c r="E1" s="7" t="s">
        <v>55</v>
      </c>
      <c r="F1" s="7" t="s">
        <v>56</v>
      </c>
      <c r="G1" s="7" t="s">
        <v>57</v>
      </c>
      <c r="H1" s="7" t="s">
        <v>88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64</v>
      </c>
      <c r="N1" s="7" t="s">
        <v>89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54</v>
      </c>
      <c r="W1" s="7" t="s">
        <v>72</v>
      </c>
      <c r="X1" s="7" t="s">
        <v>73</v>
      </c>
      <c r="Y1" s="8" t="s">
        <v>74</v>
      </c>
      <c r="Z1" s="7" t="s">
        <v>75</v>
      </c>
      <c r="AA1" s="7" t="s">
        <v>95</v>
      </c>
      <c r="AB1" s="7" t="s">
        <v>87</v>
      </c>
      <c r="AC1" s="7" t="s">
        <v>58</v>
      </c>
      <c r="AE1" s="10" t="s">
        <v>63</v>
      </c>
      <c r="AF1" s="10" t="s">
        <v>106</v>
      </c>
      <c r="AG1" s="10" t="s">
        <v>107</v>
      </c>
    </row>
    <row r="2" spans="1:33" ht="15.6" x14ac:dyDescent="0.3">
      <c r="A2" s="2" t="s">
        <v>26</v>
      </c>
      <c r="B2" s="6">
        <v>5</v>
      </c>
      <c r="C2" s="6">
        <v>5</v>
      </c>
      <c r="D2" s="6">
        <v>5</v>
      </c>
      <c r="E2" s="6">
        <v>5</v>
      </c>
      <c r="F2" s="6">
        <v>4</v>
      </c>
      <c r="G2" s="6">
        <v>5</v>
      </c>
      <c r="H2" s="6">
        <v>5</v>
      </c>
      <c r="I2" s="6">
        <v>5</v>
      </c>
      <c r="J2" s="6">
        <v>5</v>
      </c>
      <c r="K2" s="6">
        <v>5</v>
      </c>
      <c r="L2" s="6">
        <v>2</v>
      </c>
      <c r="M2" s="6">
        <v>5</v>
      </c>
      <c r="N2" s="6">
        <v>2</v>
      </c>
      <c r="O2" s="6">
        <v>5</v>
      </c>
      <c r="P2" s="6"/>
      <c r="Q2" s="6"/>
      <c r="R2" s="6"/>
      <c r="S2" s="6"/>
      <c r="T2" s="6"/>
      <c r="U2" s="6"/>
      <c r="V2" s="6"/>
      <c r="W2" s="6"/>
      <c r="X2" s="6"/>
      <c r="Y2" s="6">
        <v>5</v>
      </c>
      <c r="Z2" s="6"/>
      <c r="AA2" s="6"/>
      <c r="AB2" s="6"/>
      <c r="AC2" s="6"/>
      <c r="AE2" s="3">
        <f>AVERAGE(B2:M2)</f>
        <v>4.666666666666667</v>
      </c>
      <c r="AF2">
        <f>IF(COUNTIF(B2:L2,2)&gt;5,"нет",COUNTIF(B2:L2,2))</f>
        <v>1</v>
      </c>
      <c r="AG2" t="str">
        <f>IF(AVERAGE(B2:L2)&gt;4.8,"да","нет")</f>
        <v>нет</v>
      </c>
    </row>
    <row r="3" spans="1:33" ht="15.6" x14ac:dyDescent="0.3">
      <c r="A3" s="2" t="s">
        <v>27</v>
      </c>
      <c r="B3" s="6">
        <v>5</v>
      </c>
      <c r="C3" s="6">
        <v>5</v>
      </c>
      <c r="D3" s="6">
        <v>5</v>
      </c>
      <c r="E3" s="6">
        <v>5</v>
      </c>
      <c r="F3" s="6">
        <v>4</v>
      </c>
      <c r="G3" s="6">
        <v>5</v>
      </c>
      <c r="H3" s="6">
        <v>5</v>
      </c>
      <c r="I3" s="6">
        <v>5</v>
      </c>
      <c r="J3" s="6">
        <v>5</v>
      </c>
      <c r="K3" s="6">
        <v>5</v>
      </c>
      <c r="L3" s="6">
        <v>5</v>
      </c>
      <c r="M3" s="6">
        <v>5</v>
      </c>
      <c r="N3" s="6">
        <v>5</v>
      </c>
      <c r="O3" s="6">
        <v>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E3" s="5">
        <f>AVERAGE(B3:O3)</f>
        <v>4.9285714285714288</v>
      </c>
      <c r="AF3">
        <f t="shared" ref="AF3:AF29" si="0">IF(COUNTIF(B3:L3,2)&gt;5,"нет",COUNTIF(B3:L3,2))</f>
        <v>0</v>
      </c>
      <c r="AG3" t="str">
        <f t="shared" ref="AG3:AG29" si="1">IF(AVERAGE(B3:L3)&gt;4.8,"да","нет")</f>
        <v>да</v>
      </c>
    </row>
    <row r="4" spans="1:33" ht="15.6" x14ac:dyDescent="0.3">
      <c r="A4" s="2" t="s">
        <v>28</v>
      </c>
      <c r="B4" s="6">
        <v>2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6">
        <v>2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E4" s="4">
        <f>AVERAGE(B4:O4)</f>
        <v>2</v>
      </c>
      <c r="AF4" t="str">
        <f t="shared" si="0"/>
        <v>нет</v>
      </c>
      <c r="AG4" t="str">
        <f t="shared" si="1"/>
        <v>нет</v>
      </c>
    </row>
    <row r="5" spans="1:33" ht="15.6" x14ac:dyDescent="0.3">
      <c r="A5" s="2" t="s">
        <v>29</v>
      </c>
      <c r="B5" s="6">
        <v>5</v>
      </c>
      <c r="C5" s="6">
        <v>5</v>
      </c>
      <c r="D5" s="6">
        <v>5</v>
      </c>
      <c r="E5" s="6">
        <v>5</v>
      </c>
      <c r="F5" s="6">
        <v>5</v>
      </c>
      <c r="G5" s="6">
        <v>4</v>
      </c>
      <c r="H5" s="6">
        <v>5</v>
      </c>
      <c r="I5" s="6">
        <v>5</v>
      </c>
      <c r="J5" s="6">
        <v>4</v>
      </c>
      <c r="K5" s="6">
        <v>5</v>
      </c>
      <c r="L5" s="6">
        <v>4</v>
      </c>
      <c r="M5" s="6">
        <v>4</v>
      </c>
      <c r="N5" s="6">
        <v>2</v>
      </c>
      <c r="O5" s="6">
        <v>2</v>
      </c>
      <c r="P5" s="6"/>
      <c r="Q5" s="6">
        <v>4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E5" s="3">
        <f>AVERAGE(B5:O5)</f>
        <v>4.2857142857142856</v>
      </c>
      <c r="AF5">
        <f t="shared" si="0"/>
        <v>0</v>
      </c>
      <c r="AG5" t="str">
        <f t="shared" si="1"/>
        <v>нет</v>
      </c>
    </row>
    <row r="6" spans="1:33" ht="15.6" x14ac:dyDescent="0.3">
      <c r="A6" s="2" t="s">
        <v>30</v>
      </c>
      <c r="B6" s="6">
        <v>5</v>
      </c>
      <c r="C6" s="6">
        <v>5</v>
      </c>
      <c r="D6" s="6">
        <v>5</v>
      </c>
      <c r="E6" s="6">
        <v>5</v>
      </c>
      <c r="F6" s="6">
        <v>5</v>
      </c>
      <c r="G6" s="6">
        <v>5</v>
      </c>
      <c r="H6" s="6">
        <v>5</v>
      </c>
      <c r="I6" s="6">
        <v>5</v>
      </c>
      <c r="J6" s="6">
        <v>5</v>
      </c>
      <c r="K6" s="6">
        <v>2</v>
      </c>
      <c r="L6" s="6">
        <v>2</v>
      </c>
      <c r="M6" s="6">
        <v>2</v>
      </c>
      <c r="N6" s="6">
        <v>5</v>
      </c>
      <c r="O6" s="6">
        <v>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E6" s="3">
        <f t="shared" ref="AE6:AE29" si="2">AVERAGE(B6:L6)</f>
        <v>4.4545454545454541</v>
      </c>
      <c r="AF6">
        <f t="shared" si="0"/>
        <v>2</v>
      </c>
      <c r="AG6" t="str">
        <f t="shared" si="1"/>
        <v>нет</v>
      </c>
    </row>
    <row r="7" spans="1:33" ht="15.6" x14ac:dyDescent="0.3">
      <c r="A7" s="2" t="s">
        <v>31</v>
      </c>
      <c r="B7" s="6">
        <v>2</v>
      </c>
      <c r="C7" s="6">
        <v>5</v>
      </c>
      <c r="D7" s="6">
        <v>2</v>
      </c>
      <c r="E7" s="6">
        <v>2</v>
      </c>
      <c r="F7" s="6">
        <v>3</v>
      </c>
      <c r="G7" s="6">
        <v>2</v>
      </c>
      <c r="H7" s="6">
        <v>5</v>
      </c>
      <c r="I7" s="6">
        <v>2</v>
      </c>
      <c r="J7" s="6">
        <v>2</v>
      </c>
      <c r="K7" s="6">
        <v>2</v>
      </c>
      <c r="L7" s="6">
        <v>5</v>
      </c>
      <c r="M7" s="6">
        <v>2</v>
      </c>
      <c r="N7" s="6">
        <v>2</v>
      </c>
      <c r="O7" s="6">
        <v>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E7" s="4">
        <f t="shared" si="2"/>
        <v>2.9090909090909092</v>
      </c>
      <c r="AF7" t="str">
        <f t="shared" si="0"/>
        <v>нет</v>
      </c>
      <c r="AG7" t="str">
        <f t="shared" si="1"/>
        <v>нет</v>
      </c>
    </row>
    <row r="8" spans="1:33" ht="15.6" x14ac:dyDescent="0.3">
      <c r="A8" s="2" t="s">
        <v>32</v>
      </c>
      <c r="B8" s="6">
        <v>5</v>
      </c>
      <c r="C8" s="6">
        <v>5</v>
      </c>
      <c r="D8" s="6">
        <v>5</v>
      </c>
      <c r="E8" s="6">
        <v>5</v>
      </c>
      <c r="F8" s="6">
        <v>4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5</v>
      </c>
      <c r="O8" s="6">
        <v>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E8" s="11">
        <f>AVERAGE(B8:O8)</f>
        <v>4.9285714285714288</v>
      </c>
      <c r="AF8">
        <f t="shared" si="0"/>
        <v>0</v>
      </c>
      <c r="AG8" t="str">
        <f t="shared" si="1"/>
        <v>да</v>
      </c>
    </row>
    <row r="9" spans="1:33" ht="15.6" x14ac:dyDescent="0.3">
      <c r="A9" s="2" t="s">
        <v>33</v>
      </c>
      <c r="B9" s="6">
        <v>2</v>
      </c>
      <c r="C9" s="6">
        <v>2</v>
      </c>
      <c r="D9" s="6">
        <v>2</v>
      </c>
      <c r="E9" s="6">
        <v>2</v>
      </c>
      <c r="F9" s="6">
        <v>4</v>
      </c>
      <c r="G9" s="6">
        <v>2</v>
      </c>
      <c r="H9" s="6">
        <v>2</v>
      </c>
      <c r="I9" s="6">
        <v>2</v>
      </c>
      <c r="J9" s="6">
        <v>2</v>
      </c>
      <c r="K9" s="6">
        <v>2</v>
      </c>
      <c r="L9" s="6">
        <v>2</v>
      </c>
      <c r="M9" s="6">
        <v>2</v>
      </c>
      <c r="N9" s="6">
        <v>2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E9" s="4">
        <f>AVERAGE(B9:N9)</f>
        <v>2.1538461538461537</v>
      </c>
      <c r="AF9" t="str">
        <f t="shared" si="0"/>
        <v>нет</v>
      </c>
      <c r="AG9" t="str">
        <f t="shared" si="1"/>
        <v>нет</v>
      </c>
    </row>
    <row r="10" spans="1:33" ht="15.6" x14ac:dyDescent="0.3">
      <c r="A10" s="2" t="s">
        <v>34</v>
      </c>
      <c r="B10" s="6">
        <v>5</v>
      </c>
      <c r="C10" s="6">
        <v>5</v>
      </c>
      <c r="D10" s="6">
        <v>5</v>
      </c>
      <c r="E10" s="6">
        <v>5</v>
      </c>
      <c r="F10" s="6">
        <v>4</v>
      </c>
      <c r="G10" s="6">
        <v>5</v>
      </c>
      <c r="H10" s="6">
        <v>2</v>
      </c>
      <c r="I10" s="6">
        <v>5</v>
      </c>
      <c r="J10" s="6">
        <v>5</v>
      </c>
      <c r="K10" s="6">
        <v>2</v>
      </c>
      <c r="L10" s="6">
        <v>5</v>
      </c>
      <c r="M10" s="6">
        <v>2</v>
      </c>
      <c r="N10" s="6">
        <v>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5</v>
      </c>
      <c r="Z10" s="6"/>
      <c r="AA10" s="6"/>
      <c r="AB10" s="6"/>
      <c r="AC10" s="6"/>
      <c r="AE10" s="3">
        <f>AVERAGE(B10:N10)</f>
        <v>4</v>
      </c>
      <c r="AF10">
        <f t="shared" si="0"/>
        <v>2</v>
      </c>
      <c r="AG10" t="str">
        <f t="shared" si="1"/>
        <v>нет</v>
      </c>
    </row>
    <row r="11" spans="1:33" ht="15.6" x14ac:dyDescent="0.3">
      <c r="A11" s="2" t="s">
        <v>35</v>
      </c>
      <c r="B11" s="6">
        <v>5</v>
      </c>
      <c r="C11" s="6">
        <v>5</v>
      </c>
      <c r="D11" s="6">
        <v>5</v>
      </c>
      <c r="E11" s="6">
        <v>5</v>
      </c>
      <c r="F11" s="6">
        <v>4</v>
      </c>
      <c r="G11" s="6">
        <v>5</v>
      </c>
      <c r="H11" s="6">
        <v>2</v>
      </c>
      <c r="I11" s="6">
        <v>5</v>
      </c>
      <c r="J11" s="6">
        <v>5</v>
      </c>
      <c r="K11" s="6">
        <v>5</v>
      </c>
      <c r="L11" s="6">
        <v>5</v>
      </c>
      <c r="M11" s="6">
        <v>2</v>
      </c>
      <c r="N11" s="6">
        <v>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E11" s="3">
        <f>AVERAGE(B11:N11)</f>
        <v>4.2307692307692308</v>
      </c>
      <c r="AF11">
        <f t="shared" si="0"/>
        <v>1</v>
      </c>
      <c r="AG11" t="str">
        <f t="shared" si="1"/>
        <v>нет</v>
      </c>
    </row>
    <row r="12" spans="1:33" ht="15.6" x14ac:dyDescent="0.3">
      <c r="A12" s="2" t="s">
        <v>36</v>
      </c>
      <c r="B12" s="6">
        <v>5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5</v>
      </c>
      <c r="I12" s="6">
        <v>5</v>
      </c>
      <c r="J12" s="6">
        <v>5</v>
      </c>
      <c r="K12" s="6">
        <v>5</v>
      </c>
      <c r="L12" s="6">
        <v>2</v>
      </c>
      <c r="M12" s="6">
        <v>4</v>
      </c>
      <c r="N12" s="6">
        <v>4</v>
      </c>
      <c r="O12" s="6"/>
      <c r="P12" s="6"/>
      <c r="Q12" s="6">
        <v>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E12" s="3">
        <f>AVERAGE(B12:N12)</f>
        <v>4.615384615384615</v>
      </c>
      <c r="AF12">
        <f t="shared" si="0"/>
        <v>1</v>
      </c>
      <c r="AG12" t="str">
        <f t="shared" si="1"/>
        <v>нет</v>
      </c>
    </row>
    <row r="13" spans="1:33" ht="15.6" x14ac:dyDescent="0.3">
      <c r="A13" s="2" t="s">
        <v>37</v>
      </c>
      <c r="B13" s="6">
        <v>5</v>
      </c>
      <c r="C13" s="6">
        <v>5</v>
      </c>
      <c r="D13" s="6">
        <v>5</v>
      </c>
      <c r="E13" s="6">
        <v>5</v>
      </c>
      <c r="F13" s="6">
        <v>4</v>
      </c>
      <c r="G13" s="6">
        <v>5</v>
      </c>
      <c r="H13" s="6">
        <v>5</v>
      </c>
      <c r="I13" s="6">
        <v>5</v>
      </c>
      <c r="J13" s="6">
        <v>5</v>
      </c>
      <c r="K13" s="6">
        <v>5</v>
      </c>
      <c r="L13" s="6">
        <v>5</v>
      </c>
      <c r="M13" s="6">
        <v>5</v>
      </c>
      <c r="N13" s="6">
        <v>5</v>
      </c>
      <c r="O13" s="6">
        <v>5</v>
      </c>
      <c r="P13" s="6"/>
      <c r="Q13" s="6">
        <v>5</v>
      </c>
      <c r="R13" s="6"/>
      <c r="S13" s="6"/>
      <c r="T13" s="6"/>
      <c r="U13" s="6"/>
      <c r="V13" s="6"/>
      <c r="W13" s="6"/>
      <c r="X13" s="6"/>
      <c r="Y13" s="6">
        <v>5</v>
      </c>
      <c r="Z13" s="6"/>
      <c r="AA13" s="6"/>
      <c r="AB13" s="6"/>
      <c r="AC13" s="6"/>
      <c r="AE13" s="11">
        <f>AVERAGE(B13:N13)</f>
        <v>4.9230769230769234</v>
      </c>
      <c r="AF13">
        <f t="shared" si="0"/>
        <v>0</v>
      </c>
      <c r="AG13" t="str">
        <f t="shared" si="1"/>
        <v>да</v>
      </c>
    </row>
    <row r="14" spans="1:33" ht="15.6" x14ac:dyDescent="0.3">
      <c r="A14" s="2" t="s">
        <v>38</v>
      </c>
      <c r="B14" s="6">
        <v>2</v>
      </c>
      <c r="C14" s="6">
        <v>2</v>
      </c>
      <c r="D14" s="6">
        <v>2</v>
      </c>
      <c r="E14" s="6">
        <v>2</v>
      </c>
      <c r="F14" s="6">
        <v>4</v>
      </c>
      <c r="G14" s="6">
        <v>2</v>
      </c>
      <c r="H14" s="6">
        <v>5</v>
      </c>
      <c r="I14" s="6">
        <v>2</v>
      </c>
      <c r="J14" s="6">
        <v>2</v>
      </c>
      <c r="K14" s="6">
        <v>5</v>
      </c>
      <c r="L14" s="6">
        <v>2</v>
      </c>
      <c r="M14" s="6">
        <v>2</v>
      </c>
      <c r="N14" s="6">
        <v>2</v>
      </c>
      <c r="O14" s="6">
        <v>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E14" s="4">
        <f t="shared" si="2"/>
        <v>2.7272727272727271</v>
      </c>
      <c r="AF14" t="str">
        <f t="shared" si="0"/>
        <v>нет</v>
      </c>
      <c r="AG14" t="str">
        <f t="shared" si="1"/>
        <v>нет</v>
      </c>
    </row>
    <row r="15" spans="1:33" ht="15.6" x14ac:dyDescent="0.3">
      <c r="A15" s="2" t="s">
        <v>39</v>
      </c>
      <c r="B15" s="6">
        <v>4</v>
      </c>
      <c r="C15" s="6">
        <v>5</v>
      </c>
      <c r="D15" s="6">
        <v>5</v>
      </c>
      <c r="E15" s="6">
        <v>5</v>
      </c>
      <c r="F15" s="6">
        <v>5</v>
      </c>
      <c r="G15" s="6">
        <v>2</v>
      </c>
      <c r="H15" s="6">
        <v>5</v>
      </c>
      <c r="I15" s="6">
        <v>3</v>
      </c>
      <c r="J15" s="6">
        <v>3</v>
      </c>
      <c r="K15" s="6">
        <v>2</v>
      </c>
      <c r="L15" s="6">
        <v>2</v>
      </c>
      <c r="M15" s="6">
        <v>4</v>
      </c>
      <c r="N15" s="6">
        <v>2</v>
      </c>
      <c r="O15" s="6">
        <v>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E15" s="3">
        <f>AVERAGE(B15:M15)</f>
        <v>3.75</v>
      </c>
      <c r="AF15">
        <f t="shared" si="0"/>
        <v>3</v>
      </c>
      <c r="AG15" t="str">
        <f t="shared" si="1"/>
        <v>нет</v>
      </c>
    </row>
    <row r="16" spans="1:33" ht="15.6" x14ac:dyDescent="0.3">
      <c r="A16" s="2" t="s">
        <v>40</v>
      </c>
      <c r="B16" s="6">
        <v>5</v>
      </c>
      <c r="C16" s="6">
        <v>5</v>
      </c>
      <c r="D16" s="6">
        <v>5</v>
      </c>
      <c r="E16" s="6">
        <v>5</v>
      </c>
      <c r="F16" s="6">
        <v>4</v>
      </c>
      <c r="G16" s="6">
        <v>4</v>
      </c>
      <c r="H16" s="6">
        <v>5</v>
      </c>
      <c r="I16" s="6">
        <v>5</v>
      </c>
      <c r="J16" s="6">
        <v>4</v>
      </c>
      <c r="K16" s="6">
        <v>5</v>
      </c>
      <c r="L16" s="6">
        <v>4</v>
      </c>
      <c r="M16" s="6">
        <v>4</v>
      </c>
      <c r="N16" s="6">
        <v>2</v>
      </c>
      <c r="O16" s="6"/>
      <c r="P16" s="6"/>
      <c r="Q16" s="6">
        <v>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E16" s="3">
        <f>AVERAGE(B16:N16)</f>
        <v>4.384615384615385</v>
      </c>
      <c r="AF16">
        <f t="shared" si="0"/>
        <v>0</v>
      </c>
      <c r="AG16" t="str">
        <f t="shared" si="1"/>
        <v>нет</v>
      </c>
    </row>
    <row r="17" spans="1:33" ht="15.6" x14ac:dyDescent="0.3">
      <c r="A17" s="2" t="s">
        <v>41</v>
      </c>
      <c r="B17" s="6">
        <v>2</v>
      </c>
      <c r="C17" s="6">
        <v>5</v>
      </c>
      <c r="D17" s="6">
        <v>2</v>
      </c>
      <c r="E17" s="6">
        <v>5</v>
      </c>
      <c r="F17" s="6">
        <v>5</v>
      </c>
      <c r="G17" s="6">
        <v>2</v>
      </c>
      <c r="H17" s="6">
        <v>2</v>
      </c>
      <c r="I17" s="6">
        <v>2</v>
      </c>
      <c r="J17" s="6">
        <v>2</v>
      </c>
      <c r="K17" s="6">
        <v>2</v>
      </c>
      <c r="L17" s="6">
        <v>5</v>
      </c>
      <c r="M17" s="6">
        <v>2</v>
      </c>
      <c r="N17" s="6">
        <v>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E17" s="4">
        <f t="shared" si="2"/>
        <v>3.0909090909090908</v>
      </c>
      <c r="AF17" t="str">
        <f t="shared" si="0"/>
        <v>нет</v>
      </c>
      <c r="AG17" t="str">
        <f t="shared" si="1"/>
        <v>нет</v>
      </c>
    </row>
    <row r="18" spans="1:33" ht="15.6" x14ac:dyDescent="0.3">
      <c r="A18" s="2" t="s">
        <v>42</v>
      </c>
      <c r="B18" s="6">
        <v>5</v>
      </c>
      <c r="C18" s="6">
        <v>5</v>
      </c>
      <c r="D18" s="6">
        <v>5</v>
      </c>
      <c r="E18" s="6">
        <v>5</v>
      </c>
      <c r="F18" s="6">
        <v>5</v>
      </c>
      <c r="G18" s="6">
        <v>5</v>
      </c>
      <c r="H18" s="6">
        <v>5</v>
      </c>
      <c r="I18" s="6">
        <v>5</v>
      </c>
      <c r="J18" s="6">
        <v>5</v>
      </c>
      <c r="K18" s="6">
        <v>5</v>
      </c>
      <c r="L18" s="6">
        <v>2</v>
      </c>
      <c r="M18" s="6">
        <v>4</v>
      </c>
      <c r="N18" s="6">
        <v>4</v>
      </c>
      <c r="O18" s="6"/>
      <c r="P18" s="6"/>
      <c r="Q18" s="6">
        <v>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E18" s="3">
        <f>AVERAGE(B18:N18)</f>
        <v>4.615384615384615</v>
      </c>
      <c r="AF18">
        <f t="shared" si="0"/>
        <v>1</v>
      </c>
      <c r="AG18" t="str">
        <f t="shared" si="1"/>
        <v>нет</v>
      </c>
    </row>
    <row r="19" spans="1:33" ht="15.6" x14ac:dyDescent="0.3">
      <c r="A19" s="2" t="s">
        <v>43</v>
      </c>
      <c r="B19" s="6">
        <v>5</v>
      </c>
      <c r="C19" s="6">
        <v>5</v>
      </c>
      <c r="D19" s="6">
        <v>5</v>
      </c>
      <c r="E19" s="6">
        <v>5</v>
      </c>
      <c r="F19" s="6">
        <v>4</v>
      </c>
      <c r="G19" s="6">
        <v>3</v>
      </c>
      <c r="H19" s="6">
        <v>2</v>
      </c>
      <c r="I19" s="6">
        <v>2</v>
      </c>
      <c r="J19" s="6">
        <v>2</v>
      </c>
      <c r="K19" s="6">
        <v>2</v>
      </c>
      <c r="L19" s="6">
        <v>5</v>
      </c>
      <c r="M19" s="6">
        <v>5</v>
      </c>
      <c r="N19" s="6">
        <v>5</v>
      </c>
      <c r="O19" s="6"/>
      <c r="P19" s="6"/>
      <c r="Q19" s="6">
        <v>5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E19" s="3">
        <f>AVERAGE(B19:N19)</f>
        <v>3.8461538461538463</v>
      </c>
      <c r="AF19">
        <f t="shared" si="0"/>
        <v>4</v>
      </c>
      <c r="AG19" t="str">
        <f t="shared" si="1"/>
        <v>нет</v>
      </c>
    </row>
    <row r="20" spans="1:33" ht="15.6" x14ac:dyDescent="0.3">
      <c r="A20" s="2" t="s">
        <v>44</v>
      </c>
      <c r="B20" s="6">
        <v>2</v>
      </c>
      <c r="C20" s="6">
        <v>2</v>
      </c>
      <c r="D20" s="6">
        <v>2</v>
      </c>
      <c r="E20" s="6">
        <v>5</v>
      </c>
      <c r="F20" s="6">
        <v>3</v>
      </c>
      <c r="G20" s="6">
        <v>2</v>
      </c>
      <c r="H20" s="6">
        <v>5</v>
      </c>
      <c r="I20" s="6">
        <v>2</v>
      </c>
      <c r="J20" s="6">
        <v>2</v>
      </c>
      <c r="K20" s="6">
        <v>2</v>
      </c>
      <c r="L20" s="6">
        <v>5</v>
      </c>
      <c r="M20" s="6">
        <v>2</v>
      </c>
      <c r="N20" s="6">
        <v>2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E20" s="4">
        <f>AVERAGE(B20:N20)</f>
        <v>2.7692307692307692</v>
      </c>
      <c r="AF20" t="str">
        <f t="shared" si="0"/>
        <v>нет</v>
      </c>
      <c r="AG20" t="str">
        <f t="shared" si="1"/>
        <v>нет</v>
      </c>
    </row>
    <row r="21" spans="1:33" ht="15.6" x14ac:dyDescent="0.3">
      <c r="A21" s="2" t="s">
        <v>45</v>
      </c>
      <c r="B21" s="6">
        <v>5</v>
      </c>
      <c r="C21" s="6">
        <v>5</v>
      </c>
      <c r="D21" s="6">
        <v>2</v>
      </c>
      <c r="E21" s="6">
        <v>5</v>
      </c>
      <c r="F21" s="6">
        <v>5</v>
      </c>
      <c r="G21" s="6">
        <v>5</v>
      </c>
      <c r="H21" s="6">
        <v>2</v>
      </c>
      <c r="I21" s="6">
        <v>5</v>
      </c>
      <c r="J21" s="6">
        <v>2</v>
      </c>
      <c r="K21" s="6">
        <v>5</v>
      </c>
      <c r="L21" s="6">
        <v>5</v>
      </c>
      <c r="M21" s="6">
        <v>2</v>
      </c>
      <c r="N21" s="6">
        <v>2</v>
      </c>
      <c r="O21" s="6">
        <v>5</v>
      </c>
      <c r="P21" s="6"/>
      <c r="Q21" s="6"/>
      <c r="R21" s="6"/>
      <c r="S21" s="6"/>
      <c r="T21" s="6"/>
      <c r="U21" s="6"/>
      <c r="V21" s="6"/>
      <c r="W21" s="6"/>
      <c r="X21" s="6"/>
      <c r="Y21" s="6">
        <v>5</v>
      </c>
      <c r="Z21" s="6"/>
      <c r="AA21" s="6"/>
      <c r="AB21" s="6"/>
      <c r="AC21" s="6"/>
      <c r="AE21" s="3">
        <f t="shared" si="2"/>
        <v>4.1818181818181817</v>
      </c>
      <c r="AF21">
        <f t="shared" si="0"/>
        <v>3</v>
      </c>
      <c r="AG21" t="str">
        <f t="shared" si="1"/>
        <v>нет</v>
      </c>
    </row>
    <row r="22" spans="1:33" ht="15.6" x14ac:dyDescent="0.3">
      <c r="A22" s="2" t="s">
        <v>46</v>
      </c>
      <c r="B22" s="6">
        <v>5</v>
      </c>
      <c r="C22" s="6">
        <v>5</v>
      </c>
      <c r="D22" s="6">
        <v>5</v>
      </c>
      <c r="E22" s="6">
        <v>5</v>
      </c>
      <c r="F22" s="6">
        <v>4</v>
      </c>
      <c r="G22" s="6">
        <v>5</v>
      </c>
      <c r="H22" s="6">
        <v>5</v>
      </c>
      <c r="I22" s="6">
        <v>5</v>
      </c>
      <c r="J22" s="6">
        <v>5</v>
      </c>
      <c r="K22" s="6">
        <v>5</v>
      </c>
      <c r="L22" s="6">
        <v>4</v>
      </c>
      <c r="M22" s="6">
        <v>5</v>
      </c>
      <c r="N22" s="6">
        <v>2</v>
      </c>
      <c r="O22" s="6"/>
      <c r="P22" s="6"/>
      <c r="Q22" s="6">
        <v>5</v>
      </c>
      <c r="R22" s="6"/>
      <c r="S22" s="6"/>
      <c r="T22" s="6"/>
      <c r="U22" s="6"/>
      <c r="V22" s="6"/>
      <c r="W22" s="6"/>
      <c r="X22" s="6"/>
      <c r="Y22" s="6">
        <v>5</v>
      </c>
      <c r="Z22" s="6"/>
      <c r="AA22" s="6"/>
      <c r="AB22" s="6"/>
      <c r="AC22" s="6"/>
      <c r="AE22" s="11">
        <f>AVERAGE(B22:M22)</f>
        <v>4.833333333333333</v>
      </c>
      <c r="AF22">
        <f t="shared" si="0"/>
        <v>0</v>
      </c>
      <c r="AG22" t="str">
        <f t="shared" si="1"/>
        <v>да</v>
      </c>
    </row>
    <row r="23" spans="1:33" ht="15.6" x14ac:dyDescent="0.3">
      <c r="A23" s="2" t="s">
        <v>47</v>
      </c>
      <c r="B23" s="6">
        <v>5</v>
      </c>
      <c r="C23" s="6">
        <v>5</v>
      </c>
      <c r="D23" s="6">
        <v>2</v>
      </c>
      <c r="E23" s="6">
        <v>5</v>
      </c>
      <c r="F23" s="6">
        <v>4</v>
      </c>
      <c r="G23" s="6">
        <v>2</v>
      </c>
      <c r="H23" s="6">
        <v>5</v>
      </c>
      <c r="I23" s="6">
        <v>2</v>
      </c>
      <c r="J23" s="6">
        <v>2</v>
      </c>
      <c r="K23" s="6">
        <v>5</v>
      </c>
      <c r="L23" s="6">
        <v>5</v>
      </c>
      <c r="M23" s="6">
        <v>2</v>
      </c>
      <c r="N23" s="6">
        <v>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E23" s="3">
        <f>AVERAGE(B23:N23)</f>
        <v>3.5384615384615383</v>
      </c>
      <c r="AF23">
        <f t="shared" si="0"/>
        <v>4</v>
      </c>
      <c r="AG23" t="str">
        <f t="shared" si="1"/>
        <v>нет</v>
      </c>
    </row>
    <row r="24" spans="1:33" ht="15.6" x14ac:dyDescent="0.3">
      <c r="A24" s="2" t="s">
        <v>48</v>
      </c>
      <c r="B24" s="6">
        <v>5</v>
      </c>
      <c r="C24" s="6">
        <v>5</v>
      </c>
      <c r="D24" s="6">
        <v>5</v>
      </c>
      <c r="E24" s="6">
        <v>5</v>
      </c>
      <c r="F24" s="6">
        <v>4</v>
      </c>
      <c r="G24" s="6">
        <v>5</v>
      </c>
      <c r="H24" s="6">
        <v>5</v>
      </c>
      <c r="I24" s="6">
        <v>2</v>
      </c>
      <c r="J24" s="6">
        <v>5</v>
      </c>
      <c r="K24" s="6">
        <v>2</v>
      </c>
      <c r="L24" s="6">
        <v>5</v>
      </c>
      <c r="M24" s="6">
        <v>5</v>
      </c>
      <c r="N24" s="6">
        <v>5</v>
      </c>
      <c r="O24" s="6">
        <v>5</v>
      </c>
      <c r="P24" s="6"/>
      <c r="Q24" s="6"/>
      <c r="R24" s="6"/>
      <c r="S24" s="6"/>
      <c r="T24" s="6"/>
      <c r="U24" s="6"/>
      <c r="V24" s="6"/>
      <c r="W24" s="6"/>
      <c r="X24" s="6"/>
      <c r="Y24" s="6">
        <v>5</v>
      </c>
      <c r="Z24" s="6"/>
      <c r="AA24" s="6"/>
      <c r="AB24" s="6"/>
      <c r="AC24" s="6"/>
      <c r="AE24" s="3">
        <f>AVERAGE(B24:O24)</f>
        <v>4.5</v>
      </c>
      <c r="AF24">
        <f t="shared" si="0"/>
        <v>2</v>
      </c>
      <c r="AG24" t="str">
        <f t="shared" si="1"/>
        <v>нет</v>
      </c>
    </row>
    <row r="25" spans="1:33" ht="15.6" x14ac:dyDescent="0.3">
      <c r="A25" s="2" t="s">
        <v>49</v>
      </c>
      <c r="B25" s="6">
        <v>2</v>
      </c>
      <c r="C25" s="6">
        <v>2</v>
      </c>
      <c r="D25" s="6">
        <v>2</v>
      </c>
      <c r="E25" s="6">
        <v>2</v>
      </c>
      <c r="F25" s="6">
        <v>2</v>
      </c>
      <c r="G25" s="6">
        <v>2</v>
      </c>
      <c r="H25" s="6">
        <v>2</v>
      </c>
      <c r="I25" s="6">
        <v>2</v>
      </c>
      <c r="J25" s="6">
        <v>2</v>
      </c>
      <c r="K25" s="6">
        <v>5</v>
      </c>
      <c r="L25" s="6">
        <v>2</v>
      </c>
      <c r="M25" s="6">
        <v>2</v>
      </c>
      <c r="N25" s="6">
        <v>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E25" s="4">
        <f>AVERAGE(B25:N25)</f>
        <v>2.2307692307692308</v>
      </c>
      <c r="AF25" t="str">
        <f t="shared" si="0"/>
        <v>нет</v>
      </c>
      <c r="AG25" t="str">
        <f t="shared" si="1"/>
        <v>нет</v>
      </c>
    </row>
    <row r="26" spans="1:33" ht="15.6" x14ac:dyDescent="0.3">
      <c r="A26" s="2" t="s">
        <v>50</v>
      </c>
      <c r="B26" s="6">
        <v>5</v>
      </c>
      <c r="C26" s="6">
        <v>5</v>
      </c>
      <c r="D26" s="6">
        <v>5</v>
      </c>
      <c r="E26" s="6">
        <v>5</v>
      </c>
      <c r="F26" s="6">
        <v>4</v>
      </c>
      <c r="G26" s="6">
        <v>4</v>
      </c>
      <c r="H26" s="6">
        <v>5</v>
      </c>
      <c r="I26" s="6">
        <v>5</v>
      </c>
      <c r="J26" s="6">
        <v>5</v>
      </c>
      <c r="K26" s="6">
        <v>5</v>
      </c>
      <c r="L26" s="6">
        <v>4</v>
      </c>
      <c r="M26" s="6">
        <v>5</v>
      </c>
      <c r="N26" s="6">
        <v>5</v>
      </c>
      <c r="O26" s="6">
        <v>5</v>
      </c>
      <c r="P26" s="6"/>
      <c r="Q26" s="6">
        <v>5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E26" s="11">
        <f>AVERAGE(B26:N26)</f>
        <v>4.7692307692307692</v>
      </c>
      <c r="AF26">
        <f t="shared" si="0"/>
        <v>0</v>
      </c>
      <c r="AG26" t="str">
        <f t="shared" si="1"/>
        <v>нет</v>
      </c>
    </row>
    <row r="27" spans="1:33" ht="15.6" x14ac:dyDescent="0.3">
      <c r="A27" s="2" t="s">
        <v>51</v>
      </c>
      <c r="B27" s="6">
        <v>5</v>
      </c>
      <c r="C27" s="6">
        <v>5</v>
      </c>
      <c r="D27" s="6">
        <v>5</v>
      </c>
      <c r="E27" s="6">
        <v>5</v>
      </c>
      <c r="F27" s="6">
        <v>4</v>
      </c>
      <c r="G27" s="6">
        <v>4</v>
      </c>
      <c r="H27" s="6">
        <v>2</v>
      </c>
      <c r="I27" s="6">
        <v>2</v>
      </c>
      <c r="J27" s="6">
        <v>2</v>
      </c>
      <c r="K27" s="6">
        <v>5</v>
      </c>
      <c r="L27" s="6">
        <v>5</v>
      </c>
      <c r="M27" s="6">
        <v>5</v>
      </c>
      <c r="N27" s="6">
        <v>5</v>
      </c>
      <c r="O27" s="6">
        <v>3</v>
      </c>
      <c r="P27" s="6"/>
      <c r="Q27" s="6">
        <v>5</v>
      </c>
      <c r="R27" s="6"/>
      <c r="S27" s="6"/>
      <c r="T27" s="6"/>
      <c r="U27" s="6"/>
      <c r="V27" s="6"/>
      <c r="W27" s="6"/>
      <c r="X27" s="6"/>
      <c r="Y27" s="6">
        <v>5</v>
      </c>
      <c r="Z27" s="6"/>
      <c r="AA27" s="6"/>
      <c r="AB27" s="6"/>
      <c r="AC27" s="6"/>
      <c r="AE27" s="3">
        <f>AVERAGE(B27:N27)</f>
        <v>4.1538461538461542</v>
      </c>
      <c r="AF27">
        <f t="shared" si="0"/>
        <v>3</v>
      </c>
      <c r="AG27" t="str">
        <f t="shared" si="1"/>
        <v>нет</v>
      </c>
    </row>
    <row r="28" spans="1:33" ht="15.6" x14ac:dyDescent="0.3">
      <c r="A28" s="2" t="s">
        <v>52</v>
      </c>
      <c r="B28" s="6">
        <v>5</v>
      </c>
      <c r="C28" s="6">
        <v>5</v>
      </c>
      <c r="D28" s="6">
        <v>5</v>
      </c>
      <c r="E28" s="6">
        <v>5</v>
      </c>
      <c r="F28" s="6">
        <v>4</v>
      </c>
      <c r="G28" s="6">
        <v>4</v>
      </c>
      <c r="H28" s="6">
        <v>5</v>
      </c>
      <c r="I28" s="6">
        <v>2</v>
      </c>
      <c r="J28" s="6">
        <v>5</v>
      </c>
      <c r="K28" s="6">
        <v>2</v>
      </c>
      <c r="L28" s="6">
        <v>3</v>
      </c>
      <c r="M28" s="6">
        <v>5</v>
      </c>
      <c r="N28" s="6">
        <v>5</v>
      </c>
      <c r="O28" s="6">
        <v>5</v>
      </c>
      <c r="P28" s="6"/>
      <c r="Q28" s="6"/>
      <c r="R28" s="6"/>
      <c r="S28" s="6"/>
      <c r="T28" s="6"/>
      <c r="U28" s="6"/>
      <c r="V28" s="6"/>
      <c r="W28" s="6"/>
      <c r="X28" s="6"/>
      <c r="Y28" s="6">
        <v>5</v>
      </c>
      <c r="Z28" s="6"/>
      <c r="AA28" s="6"/>
      <c r="AB28" s="6"/>
      <c r="AC28" s="6"/>
      <c r="AE28" s="3">
        <f>AVERAGE(B28:O28)</f>
        <v>4.2857142857142856</v>
      </c>
      <c r="AF28">
        <f t="shared" si="0"/>
        <v>2</v>
      </c>
      <c r="AG28" t="str">
        <f t="shared" si="1"/>
        <v>нет</v>
      </c>
    </row>
    <row r="29" spans="1:33" ht="15.6" x14ac:dyDescent="0.3">
      <c r="A29" s="2" t="s">
        <v>53</v>
      </c>
      <c r="B29" s="6">
        <v>5</v>
      </c>
      <c r="C29" s="6">
        <v>5</v>
      </c>
      <c r="D29" s="6">
        <v>5</v>
      </c>
      <c r="E29" s="6">
        <v>5</v>
      </c>
      <c r="F29" s="6">
        <v>4</v>
      </c>
      <c r="G29" s="6">
        <v>4</v>
      </c>
      <c r="H29" s="6">
        <v>2</v>
      </c>
      <c r="I29" s="6">
        <v>4</v>
      </c>
      <c r="J29" s="6">
        <v>2</v>
      </c>
      <c r="K29" s="6">
        <v>5</v>
      </c>
      <c r="L29" s="6">
        <v>5</v>
      </c>
      <c r="M29" s="6">
        <v>2</v>
      </c>
      <c r="N29" s="6">
        <v>5</v>
      </c>
      <c r="O29" s="6">
        <v>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E29" s="3">
        <f t="shared" si="2"/>
        <v>4.1818181818181817</v>
      </c>
      <c r="AF29">
        <f t="shared" si="0"/>
        <v>2</v>
      </c>
      <c r="AG29" t="str">
        <f t="shared" si="1"/>
        <v>нет</v>
      </c>
    </row>
    <row r="30" spans="1:33" x14ac:dyDescent="0.3"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84</v>
      </c>
      <c r="K30" t="s">
        <v>86</v>
      </c>
      <c r="L30" t="s">
        <v>85</v>
      </c>
      <c r="M30" t="s">
        <v>90</v>
      </c>
      <c r="N30" t="s">
        <v>90</v>
      </c>
      <c r="O30" t="s">
        <v>91</v>
      </c>
      <c r="P30" t="s">
        <v>92</v>
      </c>
      <c r="Q30" t="s">
        <v>105</v>
      </c>
      <c r="R30" t="s">
        <v>104</v>
      </c>
      <c r="S30" t="s">
        <v>103</v>
      </c>
      <c r="T30" t="s">
        <v>102</v>
      </c>
      <c r="U30" t="s">
        <v>101</v>
      </c>
      <c r="V30" t="s">
        <v>100</v>
      </c>
      <c r="W30" t="s">
        <v>93</v>
      </c>
      <c r="X30" t="s">
        <v>108</v>
      </c>
      <c r="Y30" t="s">
        <v>94</v>
      </c>
      <c r="Z30" t="s">
        <v>96</v>
      </c>
      <c r="AA30" t="s">
        <v>97</v>
      </c>
      <c r="AB30" t="s">
        <v>98</v>
      </c>
      <c r="AC30" t="s">
        <v>99</v>
      </c>
    </row>
    <row r="31" spans="1:33" x14ac:dyDescent="0.3">
      <c r="B31" s="12">
        <v>46276</v>
      </c>
      <c r="C31" s="12">
        <v>46277</v>
      </c>
      <c r="D31" s="12">
        <v>46279</v>
      </c>
      <c r="E31" s="12">
        <v>46283</v>
      </c>
      <c r="F31" s="12">
        <v>46289</v>
      </c>
      <c r="G31" s="12">
        <v>46289</v>
      </c>
      <c r="H31" s="12">
        <v>46293</v>
      </c>
      <c r="I31" s="12">
        <v>46295</v>
      </c>
      <c r="J31" s="12">
        <v>46300</v>
      </c>
      <c r="K31" s="12">
        <v>46303</v>
      </c>
      <c r="L31" s="12">
        <v>46307</v>
      </c>
      <c r="M31" s="12">
        <v>46314</v>
      </c>
      <c r="N31" s="12">
        <v>46317</v>
      </c>
      <c r="O31" s="12">
        <v>46322</v>
      </c>
      <c r="Q31" s="12">
        <v>46317</v>
      </c>
      <c r="X31" s="12"/>
      <c r="Y31" s="12">
        <v>46322</v>
      </c>
    </row>
    <row r="33" spans="17:17" ht="57.6" x14ac:dyDescent="0.3">
      <c r="Q33" s="13" t="s">
        <v>109</v>
      </c>
    </row>
  </sheetData>
  <conditionalFormatting sqref="B2:AC29">
    <cfRule type="cellIs" dxfId="13" priority="4" operator="equal">
      <formula>5</formula>
    </cfRule>
    <cfRule type="cellIs" dxfId="12" priority="5" operator="equal">
      <formula>4</formula>
    </cfRule>
    <cfRule type="cellIs" dxfId="11" priority="6" operator="equal">
      <formula>3</formula>
    </cfRule>
    <cfRule type="cellIs" dxfId="10" priority="7" operator="equal">
      <formula>2</formula>
    </cfRule>
  </conditionalFormatting>
  <conditionalFormatting sqref="AF1:AF1048576">
    <cfRule type="containsText" dxfId="9" priority="2" operator="containsText" text="0">
      <formula>NOT(ISERROR(SEARCH("0",AF1)))</formula>
    </cfRule>
    <cfRule type="containsText" dxfId="8" priority="3" operator="containsText" text="нет">
      <formula>NOT(ISERROR(SEARCH("нет",AF1)))</formula>
    </cfRule>
  </conditionalFormatting>
  <conditionalFormatting sqref="AG1:AG1048576">
    <cfRule type="containsText" dxfId="7" priority="1" operator="containsText" text="да">
      <formula>NOT(ISERROR(SEARCH("да",AG1)))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BD64-4A2C-4C5A-9038-B3D11B3BFAE1}">
  <dimension ref="A1:AF26"/>
  <sheetViews>
    <sheetView topLeftCell="D1" zoomScale="85" zoomScaleNormal="85" workbookViewId="0">
      <selection activeCell="L28" sqref="L28"/>
    </sheetView>
  </sheetViews>
  <sheetFormatPr defaultRowHeight="14.4" x14ac:dyDescent="0.3"/>
  <cols>
    <col min="1" max="1" width="12.109375" bestFit="1" customWidth="1"/>
  </cols>
  <sheetData>
    <row r="1" spans="1:32" x14ac:dyDescent="0.3">
      <c r="A1" s="9"/>
      <c r="B1" s="7" t="s">
        <v>0</v>
      </c>
      <c r="C1" s="7" t="s">
        <v>23</v>
      </c>
      <c r="D1" s="7" t="s">
        <v>25</v>
      </c>
      <c r="E1" s="7" t="s">
        <v>55</v>
      </c>
      <c r="F1" s="7" t="s">
        <v>56</v>
      </c>
      <c r="G1" s="7" t="s">
        <v>57</v>
      </c>
      <c r="H1" s="7" t="s">
        <v>88</v>
      </c>
      <c r="I1" s="7" t="s">
        <v>59</v>
      </c>
      <c r="J1" s="7" t="s">
        <v>60</v>
      </c>
      <c r="K1" s="7" t="s">
        <v>61</v>
      </c>
      <c r="L1" s="7" t="s">
        <v>62</v>
      </c>
      <c r="M1" s="7" t="s">
        <v>64</v>
      </c>
      <c r="N1" s="7" t="s">
        <v>89</v>
      </c>
      <c r="O1" s="7" t="s">
        <v>65</v>
      </c>
      <c r="P1" s="7" t="s">
        <v>66</v>
      </c>
      <c r="Q1" s="7" t="s">
        <v>67</v>
      </c>
      <c r="R1" s="7" t="s">
        <v>68</v>
      </c>
      <c r="S1" s="7" t="s">
        <v>69</v>
      </c>
      <c r="T1" s="7" t="s">
        <v>70</v>
      </c>
      <c r="U1" s="7" t="s">
        <v>71</v>
      </c>
      <c r="V1" s="7" t="s">
        <v>54</v>
      </c>
      <c r="W1" s="7" t="s">
        <v>72</v>
      </c>
      <c r="X1" s="7" t="s">
        <v>73</v>
      </c>
      <c r="Y1" s="8" t="s">
        <v>74</v>
      </c>
      <c r="Z1" s="7" t="s">
        <v>75</v>
      </c>
      <c r="AA1" s="7" t="s">
        <v>95</v>
      </c>
      <c r="AB1" s="7" t="s">
        <v>87</v>
      </c>
      <c r="AC1" s="7" t="s">
        <v>58</v>
      </c>
      <c r="AD1" s="10" t="s">
        <v>63</v>
      </c>
      <c r="AE1" s="10" t="s">
        <v>106</v>
      </c>
      <c r="AF1" s="10" t="s">
        <v>107</v>
      </c>
    </row>
    <row r="2" spans="1:32" ht="15.6" x14ac:dyDescent="0.3">
      <c r="A2" s="1" t="s">
        <v>1</v>
      </c>
      <c r="B2" s="6">
        <v>2</v>
      </c>
      <c r="C2" s="6">
        <v>2</v>
      </c>
      <c r="D2" s="6">
        <v>2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  <c r="O2" s="6"/>
      <c r="P2" s="6"/>
      <c r="Q2" s="6">
        <v>2</v>
      </c>
      <c r="R2" s="6"/>
      <c r="S2" s="6"/>
      <c r="T2" s="6"/>
      <c r="U2" s="6"/>
      <c r="V2" s="6"/>
      <c r="W2" s="6"/>
      <c r="X2" s="6"/>
      <c r="Y2" s="6">
        <v>2</v>
      </c>
      <c r="Z2" s="6"/>
      <c r="AA2" s="6"/>
      <c r="AB2" s="6"/>
      <c r="AC2" s="6"/>
      <c r="AD2" s="3">
        <f>AVERAGE(A2:Y2)</f>
        <v>2</v>
      </c>
      <c r="AE2" t="str">
        <f>IF(COUNTIF(A2:K2,2)&gt;5,"нет",COUNTIF(A2:K2,2))</f>
        <v>нет</v>
      </c>
      <c r="AF2" t="str">
        <f>IF(AVERAGE(A2:K2)&gt;4.8,"да","нет")</f>
        <v>нет</v>
      </c>
    </row>
    <row r="3" spans="1:32" ht="15.6" x14ac:dyDescent="0.3">
      <c r="A3" s="1" t="s">
        <v>24</v>
      </c>
      <c r="B3" s="6">
        <v>4</v>
      </c>
      <c r="C3" s="6">
        <v>5</v>
      </c>
      <c r="D3" s="6">
        <v>2</v>
      </c>
      <c r="E3" s="6">
        <v>3</v>
      </c>
      <c r="F3" s="6">
        <v>2</v>
      </c>
      <c r="G3" s="6">
        <v>3</v>
      </c>
      <c r="H3" s="6">
        <v>3</v>
      </c>
      <c r="I3" s="6">
        <v>3</v>
      </c>
      <c r="J3" s="6">
        <v>3</v>
      </c>
      <c r="K3" s="6">
        <v>4</v>
      </c>
      <c r="L3" s="6">
        <v>2</v>
      </c>
      <c r="M3" s="6">
        <v>3</v>
      </c>
      <c r="N3" s="6">
        <v>2</v>
      </c>
      <c r="O3" s="6"/>
      <c r="P3" s="6"/>
      <c r="Q3" s="6">
        <v>3</v>
      </c>
      <c r="R3" s="6"/>
      <c r="S3" s="6"/>
      <c r="T3" s="6"/>
      <c r="U3" s="6"/>
      <c r="V3" s="6"/>
      <c r="W3" s="6"/>
      <c r="X3" s="6"/>
      <c r="Y3" s="6">
        <v>2</v>
      </c>
      <c r="Z3" s="6"/>
      <c r="AA3" s="6"/>
      <c r="AB3" s="6"/>
      <c r="AC3" s="6"/>
      <c r="AD3" s="5">
        <f>AVERAGE(A3:N3)</f>
        <v>3</v>
      </c>
      <c r="AE3">
        <f>IF(COUNTIF(B3:Y3,2)&gt;5,"нет",COUNTIF(B3:Y3,2))</f>
        <v>5</v>
      </c>
      <c r="AF3" t="str">
        <f t="shared" ref="AF3:AF24" si="0">IF(AVERAGE(A3:K3)&gt;4.8,"да","нет")</f>
        <v>нет</v>
      </c>
    </row>
    <row r="4" spans="1:32" ht="15.6" x14ac:dyDescent="0.3">
      <c r="A4" s="1" t="s">
        <v>2</v>
      </c>
      <c r="B4" s="6">
        <v>5</v>
      </c>
      <c r="C4" s="6">
        <v>5</v>
      </c>
      <c r="D4" s="6">
        <v>5</v>
      </c>
      <c r="E4" s="6">
        <v>5</v>
      </c>
      <c r="F4" s="6">
        <v>5</v>
      </c>
      <c r="G4" s="6">
        <v>5</v>
      </c>
      <c r="H4" s="6">
        <v>5</v>
      </c>
      <c r="I4" s="6">
        <v>5</v>
      </c>
      <c r="J4" s="6">
        <v>5</v>
      </c>
      <c r="K4" s="6">
        <v>5</v>
      </c>
      <c r="L4" s="6">
        <v>5</v>
      </c>
      <c r="M4" s="6">
        <v>5</v>
      </c>
      <c r="N4" s="6">
        <v>5</v>
      </c>
      <c r="O4" s="6">
        <v>4</v>
      </c>
      <c r="P4" s="6"/>
      <c r="Q4" s="6">
        <v>4</v>
      </c>
      <c r="R4" s="6"/>
      <c r="S4" s="6"/>
      <c r="T4" s="6"/>
      <c r="U4" s="6"/>
      <c r="V4" s="6"/>
      <c r="W4" s="6">
        <v>5</v>
      </c>
      <c r="X4" s="6"/>
      <c r="Y4" s="6">
        <v>2</v>
      </c>
      <c r="Z4" s="6"/>
      <c r="AA4" s="6"/>
      <c r="AB4" s="6"/>
      <c r="AC4" s="6"/>
      <c r="AD4" s="4">
        <f>AVERAGE(A4:N4)</f>
        <v>5</v>
      </c>
      <c r="AE4">
        <f t="shared" ref="AE4:AE24" si="1">IF(COUNTIF(B4:Y4,2)&gt;5,"нет",COUNTIF(B4:Y4,2))</f>
        <v>1</v>
      </c>
      <c r="AF4" t="str">
        <f t="shared" si="0"/>
        <v>да</v>
      </c>
    </row>
    <row r="5" spans="1:32" ht="15.6" x14ac:dyDescent="0.3">
      <c r="A5" s="1" t="s">
        <v>3</v>
      </c>
      <c r="B5" s="6">
        <v>5</v>
      </c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2</v>
      </c>
      <c r="K5" s="6">
        <v>5</v>
      </c>
      <c r="L5" s="6">
        <v>2</v>
      </c>
      <c r="M5" s="6">
        <v>5</v>
      </c>
      <c r="N5" s="6">
        <v>5</v>
      </c>
      <c r="O5" s="6">
        <v>4</v>
      </c>
      <c r="P5" s="6"/>
      <c r="Q5" s="6">
        <v>5</v>
      </c>
      <c r="R5" s="6"/>
      <c r="S5" s="6"/>
      <c r="T5" s="6"/>
      <c r="U5" s="6"/>
      <c r="V5" s="6"/>
      <c r="W5" s="6">
        <v>5</v>
      </c>
      <c r="X5" s="6"/>
      <c r="Y5" s="6">
        <v>2</v>
      </c>
      <c r="Z5" s="6"/>
      <c r="AA5" s="6"/>
      <c r="AB5" s="6"/>
      <c r="AC5" s="6"/>
      <c r="AD5" s="3">
        <f>AVERAGE(A5:N5)</f>
        <v>4.5384615384615383</v>
      </c>
      <c r="AE5">
        <f t="shared" si="1"/>
        <v>3</v>
      </c>
      <c r="AF5" t="str">
        <f t="shared" si="0"/>
        <v>нет</v>
      </c>
    </row>
    <row r="6" spans="1:32" ht="15.6" x14ac:dyDescent="0.3">
      <c r="A6" s="1" t="s">
        <v>4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/>
      <c r="P6" s="6"/>
      <c r="Q6" s="6">
        <v>2</v>
      </c>
      <c r="R6" s="6"/>
      <c r="S6" s="6"/>
      <c r="T6" s="6"/>
      <c r="U6" s="6"/>
      <c r="V6" s="6"/>
      <c r="W6" s="6"/>
      <c r="X6" s="6"/>
      <c r="Y6" s="6">
        <v>2</v>
      </c>
      <c r="Z6" s="6"/>
      <c r="AA6" s="6"/>
      <c r="AB6" s="6"/>
      <c r="AC6" s="6"/>
      <c r="AD6" s="3">
        <f t="shared" ref="AD6:AD21" si="2">AVERAGE(A6:K6)</f>
        <v>2</v>
      </c>
      <c r="AE6" t="str">
        <f t="shared" si="1"/>
        <v>нет</v>
      </c>
      <c r="AF6" t="str">
        <f t="shared" si="0"/>
        <v>нет</v>
      </c>
    </row>
    <row r="7" spans="1:32" ht="15.6" x14ac:dyDescent="0.3">
      <c r="A7" s="1" t="s">
        <v>5</v>
      </c>
      <c r="B7" s="6">
        <v>4</v>
      </c>
      <c r="C7" s="6">
        <v>5</v>
      </c>
      <c r="D7" s="6">
        <v>2</v>
      </c>
      <c r="E7" s="6">
        <v>3</v>
      </c>
      <c r="F7" s="6">
        <v>2</v>
      </c>
      <c r="G7" s="6">
        <v>3</v>
      </c>
      <c r="H7" s="6">
        <v>3</v>
      </c>
      <c r="I7" s="6">
        <v>3</v>
      </c>
      <c r="J7" s="6">
        <v>3</v>
      </c>
      <c r="K7" s="6">
        <v>4</v>
      </c>
      <c r="L7" s="6">
        <v>2</v>
      </c>
      <c r="M7" s="6">
        <v>3</v>
      </c>
      <c r="N7" s="6">
        <v>4</v>
      </c>
      <c r="O7" s="6"/>
      <c r="P7" s="6"/>
      <c r="Q7" s="6">
        <v>5</v>
      </c>
      <c r="R7" s="6"/>
      <c r="S7" s="6"/>
      <c r="T7" s="6"/>
      <c r="U7" s="6"/>
      <c r="V7" s="6"/>
      <c r="W7" s="6"/>
      <c r="X7" s="6"/>
      <c r="Y7" s="6">
        <v>2</v>
      </c>
      <c r="Z7" s="6"/>
      <c r="AA7" s="6"/>
      <c r="AB7" s="6"/>
      <c r="AC7" s="6"/>
      <c r="AD7" s="4">
        <f t="shared" si="2"/>
        <v>3.2</v>
      </c>
      <c r="AE7">
        <f t="shared" si="1"/>
        <v>4</v>
      </c>
      <c r="AF7" t="str">
        <f t="shared" si="0"/>
        <v>нет</v>
      </c>
    </row>
    <row r="8" spans="1:32" ht="15.6" x14ac:dyDescent="0.3">
      <c r="A8" s="1" t="s">
        <v>6</v>
      </c>
      <c r="B8" s="6">
        <v>5</v>
      </c>
      <c r="C8" s="6">
        <v>5</v>
      </c>
      <c r="D8" s="6">
        <v>2</v>
      </c>
      <c r="E8" s="6">
        <v>5</v>
      </c>
      <c r="F8" s="6">
        <v>5</v>
      </c>
      <c r="G8" s="6">
        <v>4</v>
      </c>
      <c r="H8" s="6">
        <v>5</v>
      </c>
      <c r="I8" s="6">
        <v>4</v>
      </c>
      <c r="J8" s="6">
        <v>4</v>
      </c>
      <c r="K8" s="6">
        <v>5</v>
      </c>
      <c r="L8" s="6">
        <v>2</v>
      </c>
      <c r="M8" s="6">
        <v>5</v>
      </c>
      <c r="N8" s="6">
        <v>5</v>
      </c>
      <c r="O8" s="6"/>
      <c r="P8" s="6"/>
      <c r="Q8" s="6"/>
      <c r="R8" s="6"/>
      <c r="S8" s="6"/>
      <c r="T8" s="6"/>
      <c r="U8" s="6"/>
      <c r="V8" s="6"/>
      <c r="W8" s="6">
        <v>5</v>
      </c>
      <c r="X8" s="6"/>
      <c r="Y8" s="6">
        <v>2</v>
      </c>
      <c r="Z8" s="6"/>
      <c r="AA8" s="6"/>
      <c r="AB8" s="6"/>
      <c r="AC8" s="6"/>
      <c r="AD8" s="11">
        <f>AVERAGE(A8:N8)</f>
        <v>4.3076923076923075</v>
      </c>
      <c r="AE8">
        <f t="shared" si="1"/>
        <v>3</v>
      </c>
      <c r="AF8" t="str">
        <f t="shared" si="0"/>
        <v>нет</v>
      </c>
    </row>
    <row r="9" spans="1:32" ht="15.6" x14ac:dyDescent="0.3">
      <c r="A9" s="1" t="s">
        <v>7</v>
      </c>
      <c r="B9" s="6">
        <v>5</v>
      </c>
      <c r="C9" s="6">
        <v>5</v>
      </c>
      <c r="D9" s="6">
        <v>2</v>
      </c>
      <c r="E9" s="6">
        <v>5</v>
      </c>
      <c r="F9" s="6">
        <v>5</v>
      </c>
      <c r="G9" s="6">
        <v>2</v>
      </c>
      <c r="H9" s="6">
        <v>3</v>
      </c>
      <c r="I9" s="6">
        <v>2</v>
      </c>
      <c r="J9" s="6">
        <v>4</v>
      </c>
      <c r="K9" s="6">
        <v>2</v>
      </c>
      <c r="L9" s="6">
        <v>2</v>
      </c>
      <c r="M9" s="6">
        <v>5</v>
      </c>
      <c r="N9" s="6">
        <v>2</v>
      </c>
      <c r="O9" s="6"/>
      <c r="P9" s="6"/>
      <c r="Q9" s="6"/>
      <c r="R9" s="6"/>
      <c r="S9" s="6"/>
      <c r="T9" s="6"/>
      <c r="U9" s="6"/>
      <c r="V9" s="6"/>
      <c r="W9" s="6"/>
      <c r="X9" s="6"/>
      <c r="Y9" s="6">
        <v>2</v>
      </c>
      <c r="Z9" s="6"/>
      <c r="AA9" s="6"/>
      <c r="AB9" s="6"/>
      <c r="AC9" s="6"/>
      <c r="AD9" s="4">
        <f>AVERAGE(A9:M9)</f>
        <v>3.5</v>
      </c>
      <c r="AE9" t="str">
        <f t="shared" si="1"/>
        <v>нет</v>
      </c>
      <c r="AF9" t="str">
        <f t="shared" si="0"/>
        <v>нет</v>
      </c>
    </row>
    <row r="10" spans="1:32" ht="15.6" x14ac:dyDescent="0.3">
      <c r="A10" s="1" t="s">
        <v>8</v>
      </c>
      <c r="B10" s="6">
        <v>5</v>
      </c>
      <c r="C10" s="6">
        <v>5</v>
      </c>
      <c r="D10" s="6">
        <v>2</v>
      </c>
      <c r="E10" s="6">
        <v>5</v>
      </c>
      <c r="F10" s="6">
        <v>5</v>
      </c>
      <c r="G10" s="6">
        <v>2</v>
      </c>
      <c r="H10" s="6">
        <v>3</v>
      </c>
      <c r="I10" s="6">
        <v>2</v>
      </c>
      <c r="J10" s="6">
        <v>4</v>
      </c>
      <c r="K10" s="6">
        <v>2</v>
      </c>
      <c r="L10" s="6">
        <v>2</v>
      </c>
      <c r="M10" s="6">
        <v>5</v>
      </c>
      <c r="N10" s="6">
        <v>2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2</v>
      </c>
      <c r="Z10" s="6"/>
      <c r="AA10" s="6"/>
      <c r="AB10" s="6"/>
      <c r="AC10" s="6"/>
      <c r="AD10" s="3">
        <f>AVERAGE(A10:M10)</f>
        <v>3.5</v>
      </c>
      <c r="AE10" t="str">
        <f t="shared" si="1"/>
        <v>нет</v>
      </c>
      <c r="AF10" t="str">
        <f t="shared" si="0"/>
        <v>нет</v>
      </c>
    </row>
    <row r="11" spans="1:32" ht="15.6" x14ac:dyDescent="0.3">
      <c r="A11" s="1" t="s">
        <v>9</v>
      </c>
      <c r="B11" s="6">
        <v>5</v>
      </c>
      <c r="C11" s="6">
        <v>5</v>
      </c>
      <c r="D11" s="6">
        <v>2</v>
      </c>
      <c r="E11" s="6">
        <v>3</v>
      </c>
      <c r="F11" s="6">
        <v>2</v>
      </c>
      <c r="G11" s="6">
        <v>2</v>
      </c>
      <c r="H11" s="6">
        <v>5</v>
      </c>
      <c r="I11" s="6">
        <v>2</v>
      </c>
      <c r="J11" s="6">
        <v>2</v>
      </c>
      <c r="K11" s="6">
        <v>2</v>
      </c>
      <c r="L11" s="6">
        <v>2</v>
      </c>
      <c r="M11" s="6">
        <v>2</v>
      </c>
      <c r="N11" s="6">
        <v>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2</v>
      </c>
      <c r="Z11" s="6"/>
      <c r="AA11" s="6"/>
      <c r="AB11" s="6"/>
      <c r="AC11" s="6"/>
      <c r="AD11" s="3">
        <f>AVERAGE(A11:M11)</f>
        <v>2.8333333333333335</v>
      </c>
      <c r="AE11" t="str">
        <f t="shared" si="1"/>
        <v>нет</v>
      </c>
      <c r="AF11" t="str">
        <f t="shared" si="0"/>
        <v>нет</v>
      </c>
    </row>
    <row r="12" spans="1:32" ht="15.6" x14ac:dyDescent="0.3">
      <c r="A12" s="1" t="s">
        <v>10</v>
      </c>
      <c r="B12" s="6">
        <v>5</v>
      </c>
      <c r="C12" s="6">
        <v>5</v>
      </c>
      <c r="D12" s="6">
        <v>2</v>
      </c>
      <c r="E12" s="6">
        <v>2</v>
      </c>
      <c r="F12" s="6">
        <v>2</v>
      </c>
      <c r="G12" s="6">
        <v>5</v>
      </c>
      <c r="H12" s="6">
        <v>5</v>
      </c>
      <c r="I12" s="6">
        <v>5</v>
      </c>
      <c r="J12" s="6">
        <v>2</v>
      </c>
      <c r="K12" s="6">
        <v>2</v>
      </c>
      <c r="L12" s="6">
        <v>2</v>
      </c>
      <c r="M12" s="6">
        <v>5</v>
      </c>
      <c r="N12" s="6">
        <v>5</v>
      </c>
      <c r="O12" s="6">
        <v>4</v>
      </c>
      <c r="P12" s="6"/>
      <c r="Q12" s="6">
        <v>4</v>
      </c>
      <c r="R12" s="6"/>
      <c r="S12" s="6"/>
      <c r="T12" s="6"/>
      <c r="U12" s="6"/>
      <c r="V12" s="6"/>
      <c r="W12" s="6"/>
      <c r="X12" s="6"/>
      <c r="Y12" s="6">
        <v>2</v>
      </c>
      <c r="Z12" s="6"/>
      <c r="AA12" s="6"/>
      <c r="AB12" s="6"/>
      <c r="AC12" s="6"/>
      <c r="AD12" s="3">
        <f>AVERAGE(A12:M12)</f>
        <v>3.5</v>
      </c>
      <c r="AE12" t="str">
        <f t="shared" si="1"/>
        <v>нет</v>
      </c>
      <c r="AF12" t="str">
        <f t="shared" si="0"/>
        <v>нет</v>
      </c>
    </row>
    <row r="13" spans="1:32" ht="15.6" x14ac:dyDescent="0.3">
      <c r="A13" s="1" t="s">
        <v>11</v>
      </c>
      <c r="B13" s="6">
        <v>3</v>
      </c>
      <c r="C13" s="6">
        <v>4</v>
      </c>
      <c r="D13" s="6">
        <v>2</v>
      </c>
      <c r="E13" s="6">
        <v>3</v>
      </c>
      <c r="F13" s="6">
        <v>3</v>
      </c>
      <c r="G13" s="6">
        <v>2</v>
      </c>
      <c r="H13" s="6">
        <v>3</v>
      </c>
      <c r="I13" s="6">
        <v>4</v>
      </c>
      <c r="J13" s="6">
        <v>4</v>
      </c>
      <c r="K13" s="6">
        <v>5</v>
      </c>
      <c r="L13" s="6">
        <v>5</v>
      </c>
      <c r="M13" s="6">
        <v>5</v>
      </c>
      <c r="N13" s="6">
        <v>4</v>
      </c>
      <c r="O13" s="6">
        <v>4</v>
      </c>
      <c r="P13" s="6"/>
      <c r="Q13" s="6"/>
      <c r="R13" s="6"/>
      <c r="S13" s="6"/>
      <c r="T13" s="6"/>
      <c r="U13" s="6"/>
      <c r="V13" s="6"/>
      <c r="W13" s="6">
        <v>5</v>
      </c>
      <c r="X13" s="6"/>
      <c r="Y13" s="6">
        <v>2</v>
      </c>
      <c r="Z13" s="6"/>
      <c r="AA13" s="6"/>
      <c r="AB13" s="6"/>
      <c r="AC13" s="6"/>
      <c r="AD13" s="11">
        <f>AVERAGE(A13:M13)</f>
        <v>3.5833333333333335</v>
      </c>
      <c r="AE13">
        <f t="shared" si="1"/>
        <v>3</v>
      </c>
      <c r="AF13" t="str">
        <f t="shared" si="0"/>
        <v>нет</v>
      </c>
    </row>
    <row r="14" spans="1:32" ht="15.6" x14ac:dyDescent="0.3">
      <c r="A14" s="1" t="s">
        <v>12</v>
      </c>
      <c r="B14" s="6">
        <v>2</v>
      </c>
      <c r="C14" s="6">
        <v>2</v>
      </c>
      <c r="D14" s="6">
        <v>2</v>
      </c>
      <c r="E14" s="6">
        <v>3</v>
      </c>
      <c r="F14" s="6">
        <v>2</v>
      </c>
      <c r="G14" s="6">
        <v>3</v>
      </c>
      <c r="H14" s="6">
        <v>3</v>
      </c>
      <c r="I14" s="6">
        <v>3</v>
      </c>
      <c r="J14" s="6">
        <v>2</v>
      </c>
      <c r="K14" s="6">
        <v>5</v>
      </c>
      <c r="L14" s="6">
        <v>2</v>
      </c>
      <c r="M14" s="6">
        <v>2</v>
      </c>
      <c r="N14" s="6">
        <v>2</v>
      </c>
      <c r="O14" s="6">
        <v>4</v>
      </c>
      <c r="P14" s="6"/>
      <c r="Q14" s="6">
        <v>3</v>
      </c>
      <c r="R14" s="6"/>
      <c r="S14" s="6"/>
      <c r="T14" s="6"/>
      <c r="U14" s="6"/>
      <c r="V14" s="6"/>
      <c r="W14" s="6"/>
      <c r="X14" s="6"/>
      <c r="Y14" s="6">
        <v>2</v>
      </c>
      <c r="Z14" s="6"/>
      <c r="AA14" s="6"/>
      <c r="AB14" s="6"/>
      <c r="AC14" s="6"/>
      <c r="AD14" s="4">
        <f t="shared" si="2"/>
        <v>2.7</v>
      </c>
      <c r="AE14" t="str">
        <f t="shared" si="1"/>
        <v>нет</v>
      </c>
      <c r="AF14" t="str">
        <f t="shared" si="0"/>
        <v>нет</v>
      </c>
    </row>
    <row r="15" spans="1:32" ht="15.6" x14ac:dyDescent="0.3">
      <c r="A15" s="1" t="s">
        <v>13</v>
      </c>
      <c r="B15" s="6">
        <v>5</v>
      </c>
      <c r="C15" s="6">
        <v>5</v>
      </c>
      <c r="D15" s="6">
        <v>2</v>
      </c>
      <c r="E15" s="6">
        <v>2</v>
      </c>
      <c r="F15" s="6">
        <v>2</v>
      </c>
      <c r="G15" s="6">
        <v>2</v>
      </c>
      <c r="H15" s="6">
        <v>3</v>
      </c>
      <c r="I15" s="6">
        <v>2</v>
      </c>
      <c r="J15" s="6">
        <v>2</v>
      </c>
      <c r="K15" s="6">
        <v>2</v>
      </c>
      <c r="L15" s="6">
        <v>2</v>
      </c>
      <c r="M15" s="6">
        <v>2</v>
      </c>
      <c r="N15" s="6">
        <v>3</v>
      </c>
      <c r="O15" s="6"/>
      <c r="P15" s="6"/>
      <c r="Q15" s="6">
        <v>3</v>
      </c>
      <c r="R15" s="6"/>
      <c r="S15" s="6"/>
      <c r="T15" s="6"/>
      <c r="U15" s="6"/>
      <c r="V15" s="6"/>
      <c r="W15" s="6"/>
      <c r="X15" s="6"/>
      <c r="Y15" s="6">
        <v>2</v>
      </c>
      <c r="Z15" s="6"/>
      <c r="AA15" s="6"/>
      <c r="AB15" s="6"/>
      <c r="AC15" s="6"/>
      <c r="AD15" s="3">
        <f>AVERAGE(A15:L15)</f>
        <v>2.6363636363636362</v>
      </c>
      <c r="AE15" t="str">
        <f t="shared" si="1"/>
        <v>нет</v>
      </c>
      <c r="AF15" t="str">
        <f t="shared" si="0"/>
        <v>нет</v>
      </c>
    </row>
    <row r="16" spans="1:32" ht="15.6" x14ac:dyDescent="0.3">
      <c r="A16" s="1" t="s">
        <v>14</v>
      </c>
      <c r="B16" s="6">
        <v>5</v>
      </c>
      <c r="C16" s="6">
        <v>5</v>
      </c>
      <c r="D16" s="6">
        <v>2</v>
      </c>
      <c r="E16" s="6">
        <v>3</v>
      </c>
      <c r="F16" s="6">
        <v>2</v>
      </c>
      <c r="G16" s="6">
        <v>3</v>
      </c>
      <c r="H16" s="6">
        <v>3</v>
      </c>
      <c r="I16" s="6">
        <v>2</v>
      </c>
      <c r="J16" s="6">
        <v>4</v>
      </c>
      <c r="K16" s="6">
        <v>2</v>
      </c>
      <c r="L16" s="6">
        <v>2</v>
      </c>
      <c r="M16" s="6">
        <v>2</v>
      </c>
      <c r="N16" s="6">
        <v>3</v>
      </c>
      <c r="O16" s="6"/>
      <c r="P16" s="6"/>
      <c r="Q16" s="6">
        <v>3</v>
      </c>
      <c r="R16" s="6"/>
      <c r="S16" s="6"/>
      <c r="T16" s="6"/>
      <c r="U16" s="6"/>
      <c r="V16" s="6"/>
      <c r="W16" s="6"/>
      <c r="X16" s="6"/>
      <c r="Y16" s="6">
        <v>2</v>
      </c>
      <c r="Z16" s="6"/>
      <c r="AA16" s="6"/>
      <c r="AB16" s="6"/>
      <c r="AC16" s="6"/>
      <c r="AD16" s="3">
        <f>AVERAGE(A16:M16)</f>
        <v>2.9166666666666665</v>
      </c>
      <c r="AE16" t="str">
        <f t="shared" si="1"/>
        <v>нет</v>
      </c>
      <c r="AF16" t="str">
        <f t="shared" si="0"/>
        <v>нет</v>
      </c>
    </row>
    <row r="17" spans="1:32" ht="15.6" x14ac:dyDescent="0.3">
      <c r="A17" s="1" t="s">
        <v>15</v>
      </c>
      <c r="B17" s="6">
        <v>5</v>
      </c>
      <c r="C17" s="6">
        <v>5</v>
      </c>
      <c r="D17" s="6">
        <v>2</v>
      </c>
      <c r="E17" s="6">
        <v>5</v>
      </c>
      <c r="F17" s="6">
        <v>5</v>
      </c>
      <c r="G17" s="6">
        <v>5</v>
      </c>
      <c r="H17" s="6">
        <v>5</v>
      </c>
      <c r="I17" s="6">
        <v>5</v>
      </c>
      <c r="J17" s="6">
        <v>5</v>
      </c>
      <c r="K17" s="6">
        <v>5</v>
      </c>
      <c r="L17" s="6">
        <v>2</v>
      </c>
      <c r="M17" s="6">
        <v>5</v>
      </c>
      <c r="N17" s="6">
        <v>5</v>
      </c>
      <c r="O17" s="6">
        <v>5</v>
      </c>
      <c r="P17" s="6"/>
      <c r="Q17" s="6">
        <v>5</v>
      </c>
      <c r="R17" s="6"/>
      <c r="S17" s="6"/>
      <c r="T17" s="6"/>
      <c r="U17" s="6"/>
      <c r="V17" s="6"/>
      <c r="W17" s="6">
        <v>5</v>
      </c>
      <c r="X17" s="6"/>
      <c r="Y17" s="6">
        <v>5</v>
      </c>
      <c r="Z17" s="6"/>
      <c r="AA17" s="6"/>
      <c r="AB17" s="6"/>
      <c r="AC17" s="6"/>
      <c r="AD17" s="4">
        <f t="shared" si="2"/>
        <v>4.7</v>
      </c>
      <c r="AE17">
        <f t="shared" si="1"/>
        <v>2</v>
      </c>
      <c r="AF17" t="str">
        <f t="shared" si="0"/>
        <v>нет</v>
      </c>
    </row>
    <row r="18" spans="1:32" ht="15.6" x14ac:dyDescent="0.3">
      <c r="A18" s="1" t="s">
        <v>16</v>
      </c>
      <c r="B18" s="6">
        <v>2</v>
      </c>
      <c r="C18" s="6">
        <v>2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2</v>
      </c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>
        <v>2</v>
      </c>
      <c r="Z18" s="6"/>
      <c r="AA18" s="6"/>
      <c r="AB18" s="6"/>
      <c r="AC18" s="6"/>
      <c r="AD18" s="3">
        <f>AVERAGE(A18:M18)</f>
        <v>2</v>
      </c>
      <c r="AE18" t="str">
        <f t="shared" si="1"/>
        <v>нет</v>
      </c>
      <c r="AF18" t="str">
        <f t="shared" si="0"/>
        <v>нет</v>
      </c>
    </row>
    <row r="19" spans="1:32" ht="15.6" x14ac:dyDescent="0.3">
      <c r="A19" s="1" t="s">
        <v>17</v>
      </c>
      <c r="B19" s="6">
        <v>2</v>
      </c>
      <c r="C19" s="6">
        <v>2</v>
      </c>
      <c r="D19" s="6">
        <v>2</v>
      </c>
      <c r="E19" s="6">
        <v>2</v>
      </c>
      <c r="F19" s="6">
        <v>2</v>
      </c>
      <c r="G19" s="6">
        <v>2</v>
      </c>
      <c r="H19" s="6">
        <v>2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>
        <v>2</v>
      </c>
      <c r="O19" s="6"/>
      <c r="P19" s="6"/>
      <c r="Q19" s="6">
        <v>2</v>
      </c>
      <c r="R19" s="6"/>
      <c r="S19" s="6"/>
      <c r="T19" s="6"/>
      <c r="U19" s="6"/>
      <c r="V19" s="6"/>
      <c r="W19" s="6"/>
      <c r="X19" s="6"/>
      <c r="Y19" s="6">
        <v>2</v>
      </c>
      <c r="Z19" s="6"/>
      <c r="AA19" s="6"/>
      <c r="AB19" s="6"/>
      <c r="AC19" s="6"/>
      <c r="AD19" s="3">
        <f>AVERAGE(A19:M19)</f>
        <v>2</v>
      </c>
      <c r="AE19" t="str">
        <f t="shared" si="1"/>
        <v>нет</v>
      </c>
      <c r="AF19" t="str">
        <f t="shared" si="0"/>
        <v>нет</v>
      </c>
    </row>
    <row r="20" spans="1:32" ht="15.6" x14ac:dyDescent="0.3">
      <c r="A20" s="1" t="s">
        <v>18</v>
      </c>
      <c r="B20" s="6">
        <v>5</v>
      </c>
      <c r="C20" s="6">
        <v>5</v>
      </c>
      <c r="D20" s="6">
        <v>2</v>
      </c>
      <c r="E20" s="6">
        <v>5</v>
      </c>
      <c r="F20" s="6">
        <v>5</v>
      </c>
      <c r="G20" s="6">
        <v>5</v>
      </c>
      <c r="H20" s="6">
        <v>5</v>
      </c>
      <c r="I20" s="6">
        <v>5</v>
      </c>
      <c r="J20" s="6">
        <v>2</v>
      </c>
      <c r="K20" s="6">
        <v>2</v>
      </c>
      <c r="L20" s="6">
        <v>2</v>
      </c>
      <c r="M20" s="6">
        <v>5</v>
      </c>
      <c r="N20" s="6">
        <v>5</v>
      </c>
      <c r="O20" s="6">
        <v>5</v>
      </c>
      <c r="P20" s="6"/>
      <c r="Q20" s="6">
        <v>5</v>
      </c>
      <c r="R20" s="6"/>
      <c r="S20" s="6"/>
      <c r="T20" s="6"/>
      <c r="U20" s="6"/>
      <c r="V20" s="6"/>
      <c r="W20" s="6">
        <v>5</v>
      </c>
      <c r="X20" s="6"/>
      <c r="Y20" s="6">
        <v>5</v>
      </c>
      <c r="Z20" s="6"/>
      <c r="AA20" s="6"/>
      <c r="AB20" s="6"/>
      <c r="AC20" s="6"/>
      <c r="AD20" s="4">
        <f>AVERAGE(A20:M20)</f>
        <v>4</v>
      </c>
      <c r="AE20">
        <f t="shared" si="1"/>
        <v>4</v>
      </c>
      <c r="AF20" t="str">
        <f t="shared" si="0"/>
        <v>нет</v>
      </c>
    </row>
    <row r="21" spans="1:32" ht="15.6" x14ac:dyDescent="0.3">
      <c r="A21" s="1" t="s">
        <v>19</v>
      </c>
      <c r="B21" s="6">
        <v>5</v>
      </c>
      <c r="C21" s="6">
        <v>5</v>
      </c>
      <c r="D21" s="6">
        <v>2</v>
      </c>
      <c r="E21" s="6">
        <v>5</v>
      </c>
      <c r="F21" s="6">
        <v>5</v>
      </c>
      <c r="G21" s="6">
        <v>5</v>
      </c>
      <c r="H21" s="6">
        <v>5</v>
      </c>
      <c r="I21" s="6">
        <v>5</v>
      </c>
      <c r="J21" s="6">
        <v>5</v>
      </c>
      <c r="K21" s="6">
        <v>5</v>
      </c>
      <c r="L21" s="6">
        <v>5</v>
      </c>
      <c r="M21" s="6">
        <v>5</v>
      </c>
      <c r="N21" s="6">
        <v>5</v>
      </c>
      <c r="O21" s="6">
        <v>4</v>
      </c>
      <c r="P21" s="6"/>
      <c r="Q21" s="6">
        <v>5</v>
      </c>
      <c r="R21" s="6"/>
      <c r="S21" s="6"/>
      <c r="T21" s="6"/>
      <c r="U21" s="6"/>
      <c r="V21" s="6"/>
      <c r="W21" s="6">
        <v>5</v>
      </c>
      <c r="X21" s="6"/>
      <c r="Y21" s="6">
        <v>2</v>
      </c>
      <c r="Z21" s="6"/>
      <c r="AA21" s="6"/>
      <c r="AB21" s="6"/>
      <c r="AC21" s="6"/>
      <c r="AD21" s="3">
        <f t="shared" si="2"/>
        <v>4.7</v>
      </c>
      <c r="AE21">
        <f t="shared" si="1"/>
        <v>2</v>
      </c>
      <c r="AF21" t="str">
        <f t="shared" si="0"/>
        <v>нет</v>
      </c>
    </row>
    <row r="22" spans="1:32" ht="15.6" x14ac:dyDescent="0.3">
      <c r="A22" s="1" t="s">
        <v>20</v>
      </c>
      <c r="B22" s="6">
        <v>3</v>
      </c>
      <c r="C22" s="6">
        <v>2</v>
      </c>
      <c r="D22" s="6">
        <v>2</v>
      </c>
      <c r="E22" s="6">
        <v>3</v>
      </c>
      <c r="F22" s="6">
        <v>2</v>
      </c>
      <c r="G22" s="6">
        <v>2</v>
      </c>
      <c r="H22" s="6">
        <v>3</v>
      </c>
      <c r="I22" s="6">
        <v>3</v>
      </c>
      <c r="J22" s="6">
        <v>2</v>
      </c>
      <c r="K22" s="6">
        <v>5</v>
      </c>
      <c r="L22" s="6">
        <v>2</v>
      </c>
      <c r="M22" s="6">
        <v>5</v>
      </c>
      <c r="N22" s="6">
        <v>4</v>
      </c>
      <c r="O22" s="6">
        <v>4</v>
      </c>
      <c r="P22" s="6"/>
      <c r="Q22" s="6">
        <v>5</v>
      </c>
      <c r="R22" s="6"/>
      <c r="S22" s="6"/>
      <c r="T22" s="6"/>
      <c r="U22" s="6"/>
      <c r="V22" s="6"/>
      <c r="W22" s="6">
        <v>5</v>
      </c>
      <c r="X22" s="6"/>
      <c r="Y22" s="6">
        <v>2</v>
      </c>
      <c r="Z22" s="6"/>
      <c r="AA22" s="6"/>
      <c r="AB22" s="6"/>
      <c r="AC22" s="6"/>
      <c r="AD22" s="11">
        <f>AVERAGE(A22:L22)</f>
        <v>2.6363636363636362</v>
      </c>
      <c r="AE22" t="str">
        <f t="shared" si="1"/>
        <v>нет</v>
      </c>
      <c r="AF22" t="str">
        <f t="shared" si="0"/>
        <v>нет</v>
      </c>
    </row>
    <row r="23" spans="1:32" ht="15.6" x14ac:dyDescent="0.3">
      <c r="A23" s="1" t="s">
        <v>21</v>
      </c>
      <c r="B23" s="6">
        <v>2</v>
      </c>
      <c r="C23" s="6">
        <v>2</v>
      </c>
      <c r="D23" s="6">
        <v>2</v>
      </c>
      <c r="E23" s="6">
        <v>2</v>
      </c>
      <c r="F23" s="6">
        <v>2</v>
      </c>
      <c r="G23" s="6">
        <v>3</v>
      </c>
      <c r="H23" s="6">
        <v>3</v>
      </c>
      <c r="I23" s="6">
        <v>2</v>
      </c>
      <c r="J23" s="6">
        <v>2</v>
      </c>
      <c r="K23" s="6">
        <v>2</v>
      </c>
      <c r="L23" s="6">
        <v>2</v>
      </c>
      <c r="M23" s="6">
        <v>2</v>
      </c>
      <c r="N23" s="6">
        <v>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2</v>
      </c>
      <c r="Z23" s="6"/>
      <c r="AA23" s="6"/>
      <c r="AB23" s="6"/>
      <c r="AC23" s="6"/>
      <c r="AD23" s="3">
        <f>AVERAGE(A23:M23)</f>
        <v>2.1666666666666665</v>
      </c>
      <c r="AE23" t="str">
        <f t="shared" si="1"/>
        <v>нет</v>
      </c>
      <c r="AF23" t="str">
        <f t="shared" si="0"/>
        <v>нет</v>
      </c>
    </row>
    <row r="24" spans="1:32" ht="15.6" x14ac:dyDescent="0.3">
      <c r="A24" s="1" t="s">
        <v>22</v>
      </c>
      <c r="B24" s="6">
        <v>5</v>
      </c>
      <c r="C24" s="6">
        <v>5</v>
      </c>
      <c r="D24" s="6">
        <v>2</v>
      </c>
      <c r="E24" s="6">
        <v>5</v>
      </c>
      <c r="F24" s="6">
        <v>5</v>
      </c>
      <c r="G24" s="6">
        <v>2</v>
      </c>
      <c r="H24" s="6">
        <v>5</v>
      </c>
      <c r="I24" s="6">
        <v>2</v>
      </c>
      <c r="J24" s="6">
        <v>4</v>
      </c>
      <c r="K24" s="6">
        <v>2</v>
      </c>
      <c r="L24" s="6">
        <v>2</v>
      </c>
      <c r="M24" s="6">
        <v>4</v>
      </c>
      <c r="N24" s="6">
        <v>2</v>
      </c>
      <c r="O24" s="6"/>
      <c r="P24" s="6"/>
      <c r="Q24" s="6">
        <v>4</v>
      </c>
      <c r="R24" s="6"/>
      <c r="S24" s="6"/>
      <c r="T24" s="6"/>
      <c r="U24" s="6"/>
      <c r="V24" s="6"/>
      <c r="W24" s="6"/>
      <c r="X24" s="6"/>
      <c r="Y24" s="6">
        <v>2</v>
      </c>
      <c r="Z24" s="6"/>
      <c r="AA24" s="6"/>
      <c r="AB24" s="6"/>
      <c r="AC24" s="6"/>
      <c r="AD24" s="3">
        <f>AVERAGE(A24:N24)</f>
        <v>3.4615384615384617</v>
      </c>
      <c r="AE24" t="str">
        <f t="shared" si="1"/>
        <v>нет</v>
      </c>
      <c r="AF24" t="str">
        <f t="shared" si="0"/>
        <v>нет</v>
      </c>
    </row>
    <row r="25" spans="1:32" x14ac:dyDescent="0.3">
      <c r="A25" s="1"/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86</v>
      </c>
      <c r="L25" t="s">
        <v>85</v>
      </c>
      <c r="M25" t="s">
        <v>90</v>
      </c>
      <c r="N25" t="s">
        <v>90</v>
      </c>
      <c r="O25" t="s">
        <v>91</v>
      </c>
      <c r="P25" t="s">
        <v>92</v>
      </c>
      <c r="Q25" t="s">
        <v>105</v>
      </c>
      <c r="R25" t="s">
        <v>104</v>
      </c>
      <c r="S25" t="s">
        <v>103</v>
      </c>
      <c r="T25" t="s">
        <v>102</v>
      </c>
      <c r="U25" t="s">
        <v>101</v>
      </c>
      <c r="V25" t="s">
        <v>100</v>
      </c>
      <c r="W25" t="s">
        <v>93</v>
      </c>
      <c r="X25" t="s">
        <v>108</v>
      </c>
      <c r="Y25" t="s">
        <v>94</v>
      </c>
      <c r="Z25" t="s">
        <v>96</v>
      </c>
      <c r="AA25" t="s">
        <v>97</v>
      </c>
      <c r="AB25" t="s">
        <v>98</v>
      </c>
      <c r="AC25" t="s">
        <v>99</v>
      </c>
    </row>
    <row r="26" spans="1:32" x14ac:dyDescent="0.3">
      <c r="A26" s="1"/>
      <c r="B26" s="12">
        <v>46275</v>
      </c>
      <c r="C26" s="12">
        <v>46275</v>
      </c>
      <c r="D26" s="12">
        <v>46276</v>
      </c>
      <c r="E26" s="12">
        <v>46282</v>
      </c>
      <c r="F26" s="12">
        <v>46288</v>
      </c>
      <c r="G26" s="12">
        <v>46290</v>
      </c>
      <c r="H26" s="12">
        <v>46294</v>
      </c>
      <c r="I26" s="12">
        <v>46296</v>
      </c>
      <c r="J26" s="12">
        <v>46302</v>
      </c>
      <c r="K26" s="12">
        <v>46304</v>
      </c>
      <c r="L26" s="12">
        <v>46310</v>
      </c>
      <c r="M26" s="12">
        <v>46318</v>
      </c>
      <c r="N26" s="12">
        <v>46317</v>
      </c>
      <c r="O26" s="12">
        <v>46324</v>
      </c>
      <c r="Q26" s="12">
        <v>46317</v>
      </c>
      <c r="W26" s="12">
        <v>46324</v>
      </c>
      <c r="X26" s="12"/>
      <c r="Y26" s="12">
        <v>46322</v>
      </c>
    </row>
  </sheetData>
  <conditionalFormatting sqref="B2:AC24">
    <cfRule type="cellIs" dxfId="6" priority="4" operator="equal">
      <formula>5</formula>
    </cfRule>
    <cfRule type="cellIs" dxfId="5" priority="5" operator="equal">
      <formula>4</formula>
    </cfRule>
    <cfRule type="cellIs" dxfId="4" priority="6" operator="equal">
      <formula>3</formula>
    </cfRule>
    <cfRule type="cellIs" dxfId="3" priority="7" operator="equal">
      <formula>2</formula>
    </cfRule>
  </conditionalFormatting>
  <conditionalFormatting sqref="AE1:AE24">
    <cfRule type="containsText" dxfId="2" priority="2" operator="containsText" text="0">
      <formula>NOT(ISERROR(SEARCH("0",AE1)))</formula>
    </cfRule>
    <cfRule type="containsText" dxfId="1" priority="3" operator="containsText" text="нет">
      <formula>NOT(ISERROR(SEARCH("нет",AE1)))</formula>
    </cfRule>
  </conditionalFormatting>
  <conditionalFormatting sqref="AF1:AF24">
    <cfRule type="containsText" dxfId="0" priority="1" operator="containsText" text="да">
      <formula>NOT(ISERROR(SEARCH("да",AF1)))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ССА41</vt:lpstr>
      <vt:lpstr>ССА55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Туйкова</dc:creator>
  <cp:lastModifiedBy>Анна Туйкова</cp:lastModifiedBy>
  <dcterms:created xsi:type="dcterms:W3CDTF">2026-09-05T09:49:12Z</dcterms:created>
  <dcterms:modified xsi:type="dcterms:W3CDTF">2026-10-30T07:50:38Z</dcterms:modified>
</cp:coreProperties>
</file>